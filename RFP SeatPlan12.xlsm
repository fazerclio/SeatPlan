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5430" yWindow="-30" windowWidth="22680" windowHeight="12450"/>
  </bookViews>
  <sheets>
    <sheet name="TablePlan" sheetId="1" r:id="rId1"/>
    <sheet name="Lists" sheetId="2" r:id="rId2"/>
    <sheet name="Gilly Sht" sheetId="9" r:id="rId3"/>
    <sheet name="PlanDev" sheetId="10" r:id="rId4"/>
    <sheet name="Headers" sheetId="11" r:id="rId5"/>
  </sheets>
  <definedNames>
    <definedName name="NameCheck">OFFSET(Lists!#REF!,0,0,COUNTA(Lists!#REF!)-COUNTBLANK(Lists!#REF!),1)</definedName>
    <definedName name="_xlnm.Print_Area" localSheetId="0">TablePlan!$A$1:$AG$93</definedName>
  </definedNames>
  <calcPr calcId="145621" refMode="R1C1"/>
</workbook>
</file>

<file path=xl/calcChain.xml><?xml version="1.0" encoding="utf-8"?>
<calcChain xmlns="http://schemas.openxmlformats.org/spreadsheetml/2006/main">
  <c r="B11" i="2" l="1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J93" i="2"/>
  <c r="B10" i="2" l="1"/>
  <c r="J80" i="9"/>
  <c r="I80" i="9"/>
  <c r="H80" i="9"/>
</calcChain>
</file>

<file path=xl/sharedStrings.xml><?xml version="1.0" encoding="utf-8"?>
<sst xmlns="http://schemas.openxmlformats.org/spreadsheetml/2006/main" count="638" uniqueCount="257">
  <si>
    <t>Jim</t>
  </si>
  <si>
    <t>Ken</t>
  </si>
  <si>
    <t>Sue</t>
  </si>
  <si>
    <t>Guest</t>
  </si>
  <si>
    <t>RFP 40th ANNIVERSARY DINNER</t>
  </si>
  <si>
    <t>First Name</t>
  </si>
  <si>
    <t>Last Name</t>
  </si>
  <si>
    <t>Status</t>
  </si>
  <si>
    <t>Attending</t>
  </si>
  <si>
    <t>Additional Guests</t>
  </si>
  <si>
    <t>Received Confirmation of Payment</t>
  </si>
  <si>
    <t>Payment Received</t>
  </si>
  <si>
    <t>Number of Attendees Confirmed</t>
  </si>
  <si>
    <t>Number of tickets Sent</t>
  </si>
  <si>
    <t>Graham</t>
  </si>
  <si>
    <t>Austin</t>
  </si>
  <si>
    <t>Member</t>
  </si>
  <si>
    <t>x</t>
  </si>
  <si>
    <t>George</t>
  </si>
  <si>
    <t>Baines</t>
  </si>
  <si>
    <t>Stuart</t>
  </si>
  <si>
    <t>Berrisford</t>
  </si>
  <si>
    <t>Matt</t>
  </si>
  <si>
    <t>Booth</t>
  </si>
  <si>
    <t>Bethany</t>
  </si>
  <si>
    <t>Broomfield-Jones</t>
  </si>
  <si>
    <t>Vicki</t>
  </si>
  <si>
    <t>Buckle</t>
  </si>
  <si>
    <t>Ollie</t>
  </si>
  <si>
    <t>Burton</t>
  </si>
  <si>
    <t>Emma</t>
  </si>
  <si>
    <t>Butcher</t>
  </si>
  <si>
    <t>Jen</t>
  </si>
  <si>
    <t>Caldwell</t>
  </si>
  <si>
    <t>Old Member</t>
  </si>
  <si>
    <t>Alan</t>
  </si>
  <si>
    <t>Carter</t>
  </si>
  <si>
    <t>Bernie</t>
  </si>
  <si>
    <t>Cawson</t>
  </si>
  <si>
    <t>Frank</t>
  </si>
  <si>
    <t>Chambers</t>
  </si>
  <si>
    <t>John</t>
  </si>
  <si>
    <t>Cleary</t>
  </si>
  <si>
    <t>OB Contact</t>
  </si>
  <si>
    <t>Lorna</t>
  </si>
  <si>
    <t>Cooke</t>
  </si>
  <si>
    <t>Kieran</t>
  </si>
  <si>
    <t>Richard</t>
  </si>
  <si>
    <t>Day</t>
  </si>
  <si>
    <t>Andy</t>
  </si>
  <si>
    <t>Duff</t>
  </si>
  <si>
    <t>Bob</t>
  </si>
  <si>
    <t>Fisher</t>
  </si>
  <si>
    <t>Willie</t>
  </si>
  <si>
    <t>Fletcher</t>
  </si>
  <si>
    <t>Grubb</t>
  </si>
  <si>
    <t>Liam</t>
  </si>
  <si>
    <t>Hale</t>
  </si>
  <si>
    <t>Hazell</t>
  </si>
  <si>
    <t>Chris</t>
  </si>
  <si>
    <t>Heard</t>
  </si>
  <si>
    <t>Paul</t>
  </si>
  <si>
    <t>Holcroft</t>
  </si>
  <si>
    <t>Humphries</t>
  </si>
  <si>
    <t>Brian</t>
  </si>
  <si>
    <t>Manby</t>
  </si>
  <si>
    <t>Ed</t>
  </si>
  <si>
    <t>Mayne</t>
  </si>
  <si>
    <t>David</t>
  </si>
  <si>
    <t>McWilliam</t>
  </si>
  <si>
    <t>Jamie</t>
  </si>
  <si>
    <t>Reynolds</t>
  </si>
  <si>
    <t>Bill</t>
  </si>
  <si>
    <t>Russell</t>
  </si>
  <si>
    <t>June</t>
  </si>
  <si>
    <t>Snowden</t>
  </si>
  <si>
    <t>HBA</t>
  </si>
  <si>
    <t xml:space="preserve">Zoe </t>
  </si>
  <si>
    <t>Stanton</t>
  </si>
  <si>
    <t>Mike</t>
  </si>
  <si>
    <t>Stone</t>
  </si>
  <si>
    <t>FPH</t>
  </si>
  <si>
    <t>Ben</t>
  </si>
  <si>
    <t>Tillett</t>
  </si>
  <si>
    <t>Malcolm</t>
  </si>
  <si>
    <t>Treen</t>
  </si>
  <si>
    <t>Wilkinson</t>
  </si>
  <si>
    <t>Gilly</t>
  </si>
  <si>
    <t>Sweetman</t>
  </si>
  <si>
    <t>Donation</t>
  </si>
  <si>
    <t>Graham Austin</t>
  </si>
  <si>
    <t>Nerina</t>
  </si>
  <si>
    <t>Walton</t>
  </si>
  <si>
    <t>Helena</t>
  </si>
  <si>
    <t>No2</t>
  </si>
  <si>
    <t>No3</t>
  </si>
  <si>
    <t>No4</t>
  </si>
  <si>
    <t>Bernie Cawson</t>
  </si>
  <si>
    <t>Suzie Cawson</t>
  </si>
  <si>
    <t>Shirley Day</t>
  </si>
  <si>
    <t>Emma Lovell</t>
  </si>
  <si>
    <t>Suzie</t>
  </si>
  <si>
    <t>Shirley</t>
  </si>
  <si>
    <t>Lovell</t>
  </si>
  <si>
    <t>Mary</t>
  </si>
  <si>
    <t>Keay</t>
  </si>
  <si>
    <t>Jackie</t>
  </si>
  <si>
    <t>Edwards</t>
  </si>
  <si>
    <t>Theresa</t>
  </si>
  <si>
    <t>Peter</t>
  </si>
  <si>
    <t>Franklin</t>
  </si>
  <si>
    <t>Jenny</t>
  </si>
  <si>
    <t>No5</t>
  </si>
  <si>
    <t>Dave</t>
  </si>
  <si>
    <t>Roberts</t>
  </si>
  <si>
    <t>Wood Roberts</t>
  </si>
  <si>
    <t>Airey</t>
  </si>
  <si>
    <t>B-Jones</t>
  </si>
  <si>
    <t>Jacquie</t>
  </si>
  <si>
    <t>Warner</t>
  </si>
  <si>
    <t>Louise</t>
  </si>
  <si>
    <t>Doody</t>
  </si>
  <si>
    <t>No6</t>
  </si>
  <si>
    <t>Iona</t>
  </si>
  <si>
    <t>Costley-White</t>
  </si>
  <si>
    <t>guest</t>
  </si>
  <si>
    <t>Helena Austin</t>
  </si>
  <si>
    <t>George Baines</t>
  </si>
  <si>
    <t>Stuart Berrisford</t>
  </si>
  <si>
    <t>Ollie Burton</t>
  </si>
  <si>
    <t>Jen Caldwell</t>
  </si>
  <si>
    <t>Alan Carter</t>
  </si>
  <si>
    <t>John Cleary</t>
  </si>
  <si>
    <t>Malcolm Treen</t>
  </si>
  <si>
    <t>Mary Treen</t>
  </si>
  <si>
    <t>David Keay</t>
  </si>
  <si>
    <t>Jackie Keay</t>
  </si>
  <si>
    <t>Lorna Cooke</t>
  </si>
  <si>
    <t>Kieran Cooke</t>
  </si>
  <si>
    <t>Richard Day</t>
  </si>
  <si>
    <t>Andy Duff</t>
  </si>
  <si>
    <t>Bob Fisher</t>
  </si>
  <si>
    <t>Mike Grubb</t>
  </si>
  <si>
    <t>Nerina Walton</t>
  </si>
  <si>
    <t>Liam Hale</t>
  </si>
  <si>
    <t>Jim Hazell</t>
  </si>
  <si>
    <t>Chris Heard</t>
  </si>
  <si>
    <t>Paul Holcroft</t>
  </si>
  <si>
    <t>Sue Holcroft</t>
  </si>
  <si>
    <t>Brian Manby</t>
  </si>
  <si>
    <t>Ed Mayne</t>
  </si>
  <si>
    <t>Iona Costley-White</t>
  </si>
  <si>
    <t>David McWilliam</t>
  </si>
  <si>
    <t>Jamie Reynolds</t>
  </si>
  <si>
    <t>Bill Russell</t>
  </si>
  <si>
    <t>Chris Airey</t>
  </si>
  <si>
    <t>June Snowden</t>
  </si>
  <si>
    <t>Zoe  Stanton</t>
  </si>
  <si>
    <t>Mike Stone</t>
  </si>
  <si>
    <t>Ben Tillett</t>
  </si>
  <si>
    <t>Malcolm Edwards</t>
  </si>
  <si>
    <t>Theresa Edwards</t>
  </si>
  <si>
    <t>Peter Franklin</t>
  </si>
  <si>
    <t>Jenny Franklin</t>
  </si>
  <si>
    <t>Ken Wilkinson</t>
  </si>
  <si>
    <t>Gilly Wood Roberts</t>
  </si>
  <si>
    <t>Dave Roberts</t>
  </si>
  <si>
    <t xml:space="preserve"> </t>
  </si>
  <si>
    <t>Frank Chambers</t>
  </si>
  <si>
    <t>Table</t>
  </si>
  <si>
    <t>Posn</t>
  </si>
  <si>
    <t>Name</t>
  </si>
  <si>
    <t>Master List</t>
  </si>
  <si>
    <t>Louise Walton</t>
  </si>
  <si>
    <t>Angela</t>
  </si>
  <si>
    <t>Welsman</t>
  </si>
  <si>
    <t>Jan</t>
  </si>
  <si>
    <t>Jill</t>
  </si>
  <si>
    <t>Syms</t>
  </si>
  <si>
    <t>Steve</t>
  </si>
  <si>
    <t>Carpenter</t>
  </si>
  <si>
    <t>Pat</t>
  </si>
  <si>
    <t>Karina</t>
  </si>
  <si>
    <t>Adrian</t>
  </si>
  <si>
    <t>Nigel</t>
  </si>
  <si>
    <t>Rowsell</t>
  </si>
  <si>
    <t>Tracey</t>
  </si>
  <si>
    <t>Roswell</t>
  </si>
  <si>
    <t>Max</t>
  </si>
  <si>
    <t>Davis</t>
  </si>
  <si>
    <t>Maria</t>
  </si>
  <si>
    <t>Carol</t>
  </si>
  <si>
    <t>Sarah</t>
  </si>
  <si>
    <t>Sharon</t>
  </si>
  <si>
    <t>Jones</t>
  </si>
  <si>
    <t>Richard Jones</t>
  </si>
  <si>
    <t>Sharon Carter</t>
  </si>
  <si>
    <t>Jill Syms</t>
  </si>
  <si>
    <t>Steve Carpenter</t>
  </si>
  <si>
    <t>Sue Carpenter</t>
  </si>
  <si>
    <t>Zoe  Duff</t>
  </si>
  <si>
    <t>Pat Manby</t>
  </si>
  <si>
    <t>Karina Manby</t>
  </si>
  <si>
    <t>Adrian Manby</t>
  </si>
  <si>
    <t>Nigel Rowsell</t>
  </si>
  <si>
    <t>Tracey Roswell</t>
  </si>
  <si>
    <t>Max Davis</t>
  </si>
  <si>
    <t>Maria Stanton</t>
  </si>
  <si>
    <t>Carol Stanton</t>
  </si>
  <si>
    <t>Paul Stanton</t>
  </si>
  <si>
    <t>Sarah Tillett</t>
  </si>
  <si>
    <t>Angela Wilkinson</t>
  </si>
  <si>
    <t>John Welsman</t>
  </si>
  <si>
    <t>Jan Welsman</t>
  </si>
  <si>
    <t>Gwyneth Chambers</t>
  </si>
  <si>
    <t>Sarah Steeden</t>
  </si>
  <si>
    <t>Steeden</t>
  </si>
  <si>
    <t>Kayleigh</t>
  </si>
  <si>
    <t>Heather</t>
  </si>
  <si>
    <t>Gwyneth</t>
  </si>
  <si>
    <t>Kayleigh Carter</t>
  </si>
  <si>
    <t>Heather Carter</t>
  </si>
  <si>
    <t>Sophie Reynolds</t>
  </si>
  <si>
    <t>Sophie</t>
  </si>
  <si>
    <t>ABBA</t>
  </si>
  <si>
    <t>The Manhattans</t>
  </si>
  <si>
    <t>Bay City Rollers</t>
  </si>
  <si>
    <t>Chicago</t>
  </si>
  <si>
    <t>Detroit Spinners</t>
  </si>
  <si>
    <t>Tavares</t>
  </si>
  <si>
    <t>Manfred Mann</t>
  </si>
  <si>
    <t>Item</t>
  </si>
  <si>
    <t>Table Name</t>
  </si>
  <si>
    <t>Table Dia</t>
  </si>
  <si>
    <t>Seat Width</t>
  </si>
  <si>
    <t>Seat Height</t>
  </si>
  <si>
    <t>X Spacing</t>
  </si>
  <si>
    <t>Y Spacing</t>
  </si>
  <si>
    <t>Parameters</t>
  </si>
  <si>
    <t>X Start 1</t>
  </si>
  <si>
    <t>X Start 2</t>
  </si>
  <si>
    <t>Ann Marie</t>
  </si>
  <si>
    <t>Ann-Marie Doody</t>
  </si>
  <si>
    <t>Bethany Broomfield-Jones</t>
  </si>
  <si>
    <t>Louise Broomfield-Jones</t>
  </si>
  <si>
    <t>Chair Gap</t>
  </si>
  <si>
    <t>Group</t>
  </si>
  <si>
    <t>Ann-Marie</t>
  </si>
  <si>
    <t>Y Start</t>
  </si>
  <si>
    <t>Wings</t>
  </si>
  <si>
    <t>Showaddywaddy</t>
  </si>
  <si>
    <t>Seats</t>
  </si>
  <si>
    <t>The Real Thing</t>
  </si>
  <si>
    <t>STAGE</t>
  </si>
  <si>
    <t>Tim Lloyd</t>
  </si>
  <si>
    <t>Tina Stone</t>
  </si>
  <si>
    <t>TIna Stone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</si>
</sst>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2"/>
      <name val="Arial Narrow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Arial Narrow"/>
      <family val="2"/>
    </font>
    <font>
      <u/>
      <sz val="12"/>
      <color indexed="12"/>
      <name val="Arial Narrow"/>
      <family val="2"/>
    </font>
    <font>
      <sz val="8"/>
      <name val="Arial Narrow"/>
      <family val="2"/>
    </font>
    <font>
      <sz val="12"/>
      <name val="Arial Narrow"/>
      <family val="2"/>
    </font>
    <font>
      <sz val="10"/>
      <name val="Arial"/>
      <family val="2"/>
    </font>
    <font>
      <u/>
      <sz val="11"/>
      <color indexed="12"/>
      <name val="Arial Narrow"/>
      <family val="2"/>
    </font>
    <font>
      <u/>
      <sz val="11"/>
      <color indexed="12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indexed="12"/>
      <name val="Calibri"/>
      <family val="2"/>
    </font>
    <font>
      <sz val="10"/>
      <color indexed="8"/>
      <name val="Calibri"/>
      <family val="2"/>
    </font>
    <font>
      <sz val="12"/>
      <color rgb="FF000000"/>
      <name val="Arial"/>
      <family val="2"/>
    </font>
    <font>
      <sz val="11"/>
      <color rgb="FF90949C"/>
      <name val="Arial"/>
      <family val="2"/>
    </font>
    <font>
      <b/>
      <sz val="16"/>
      <name val="Arial Narrow"/>
      <family val="2"/>
    </font>
    <font>
      <b/>
      <sz val="12"/>
      <color theme="0" tint="-0.499984740745262"/>
      <name val="Arial Narrow"/>
      <family val="2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thick">
        <color theme="0" tint="-0.499984740745262"/>
      </left>
      <right/>
      <top/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theme="0" tint="-0.499984740745262"/>
      </left>
      <right/>
      <top/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/>
      <right style="thick">
        <color theme="0" tint="-0.499984740745262"/>
      </right>
      <top/>
      <bottom style="thick">
        <color theme="0" tint="-0.499984740745262"/>
      </bottom>
      <diagonal/>
    </border>
  </borders>
  <cellStyleXfs count="11">
    <xf numFmtId="0" fontId="0" fillId="0" borderId="0"/>
    <xf numFmtId="0" fontId="9" fillId="0" borderId="0" applyNumberFormat="0" applyFill="0" applyBorder="0" applyAlignment="0" applyProtection="0">
      <alignment horizontal="left" indent="1"/>
    </xf>
    <xf numFmtId="0" fontId="4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7" fillId="0" borderId="0"/>
    <xf numFmtId="0" fontId="12" fillId="0" borderId="0"/>
    <xf numFmtId="0" fontId="16" fillId="0" borderId="0"/>
    <xf numFmtId="0" fontId="17" fillId="0" borderId="0"/>
  </cellStyleXfs>
  <cellXfs count="9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3" fillId="0" borderId="0" xfId="0" applyFont="1"/>
    <xf numFmtId="0" fontId="4" fillId="0" borderId="0" xfId="2" applyAlignment="1" applyProtection="1"/>
    <xf numFmtId="0" fontId="13" fillId="0" borderId="0" xfId="8" applyFont="1"/>
    <xf numFmtId="0" fontId="12" fillId="0" borderId="0" xfId="8"/>
    <xf numFmtId="0" fontId="13" fillId="0" borderId="2" xfId="8" applyFont="1" applyBorder="1" applyAlignment="1">
      <alignment vertical="top"/>
    </xf>
    <xf numFmtId="0" fontId="13" fillId="0" borderId="3" xfId="8" applyFont="1" applyBorder="1" applyAlignment="1">
      <alignment vertical="top"/>
    </xf>
    <xf numFmtId="0" fontId="13" fillId="0" borderId="4" xfId="8" applyFont="1" applyBorder="1" applyAlignment="1">
      <alignment vertical="top"/>
    </xf>
    <xf numFmtId="0" fontId="14" fillId="3" borderId="5" xfId="8" applyFont="1" applyFill="1" applyBorder="1" applyAlignment="1">
      <alignment horizontal="center" vertical="top" wrapText="1"/>
    </xf>
    <xf numFmtId="0" fontId="14" fillId="3" borderId="6" xfId="8" applyFont="1" applyFill="1" applyBorder="1" applyAlignment="1">
      <alignment horizontal="center" vertical="top" wrapText="1"/>
    </xf>
    <xf numFmtId="0" fontId="14" fillId="3" borderId="7" xfId="8" applyFont="1" applyFill="1" applyBorder="1" applyAlignment="1">
      <alignment horizontal="center" vertical="top" wrapText="1"/>
    </xf>
    <xf numFmtId="0" fontId="14" fillId="3" borderId="8" xfId="8" applyFont="1" applyFill="1" applyBorder="1" applyAlignment="1">
      <alignment horizontal="center" vertical="top" wrapText="1"/>
    </xf>
    <xf numFmtId="0" fontId="12" fillId="4" borderId="1" xfId="8" applyFill="1" applyBorder="1"/>
    <xf numFmtId="0" fontId="15" fillId="4" borderId="1" xfId="8" applyFont="1" applyFill="1" applyBorder="1" applyAlignment="1">
      <alignment horizontal="center"/>
    </xf>
    <xf numFmtId="0" fontId="12" fillId="4" borderId="9" xfId="8" applyFill="1" applyBorder="1" applyAlignment="1">
      <alignment horizontal="center"/>
    </xf>
    <xf numFmtId="0" fontId="12" fillId="0" borderId="10" xfId="8" applyBorder="1" applyAlignment="1">
      <alignment horizontal="center"/>
    </xf>
    <xf numFmtId="0" fontId="12" fillId="5" borderId="1" xfId="8" applyFill="1" applyBorder="1"/>
    <xf numFmtId="0" fontId="15" fillId="5" borderId="1" xfId="8" applyFont="1" applyFill="1" applyBorder="1" applyAlignment="1">
      <alignment horizontal="center"/>
    </xf>
    <xf numFmtId="0" fontId="12" fillId="5" borderId="9" xfId="8" applyFill="1" applyBorder="1" applyAlignment="1">
      <alignment horizontal="center"/>
    </xf>
    <xf numFmtId="0" fontId="12" fillId="0" borderId="1" xfId="8" applyBorder="1" applyAlignment="1">
      <alignment horizontal="center"/>
    </xf>
    <xf numFmtId="0" fontId="11" fillId="6" borderId="1" xfId="8" applyFont="1" applyFill="1" applyBorder="1"/>
    <xf numFmtId="0" fontId="10" fillId="6" borderId="1" xfId="8" applyFont="1" applyFill="1" applyBorder="1" applyAlignment="1">
      <alignment horizontal="center"/>
    </xf>
    <xf numFmtId="0" fontId="11" fillId="6" borderId="9" xfId="8" applyFont="1" applyFill="1" applyBorder="1" applyAlignment="1">
      <alignment horizontal="center"/>
    </xf>
    <xf numFmtId="0" fontId="12" fillId="6" borderId="1" xfId="8" applyFill="1" applyBorder="1"/>
    <xf numFmtId="0" fontId="15" fillId="6" borderId="1" xfId="8" applyFont="1" applyFill="1" applyBorder="1" applyAlignment="1">
      <alignment horizontal="center"/>
    </xf>
    <xf numFmtId="0" fontId="12" fillId="6" borderId="9" xfId="8" applyFill="1" applyBorder="1" applyAlignment="1">
      <alignment horizontal="center"/>
    </xf>
    <xf numFmtId="0" fontId="11" fillId="4" borderId="1" xfId="8" applyFont="1" applyFill="1" applyBorder="1"/>
    <xf numFmtId="0" fontId="10" fillId="4" borderId="1" xfId="8" applyFont="1" applyFill="1" applyBorder="1" applyAlignment="1">
      <alignment horizontal="center"/>
    </xf>
    <xf numFmtId="0" fontId="11" fillId="4" borderId="9" xfId="8" applyFont="1" applyFill="1" applyBorder="1" applyAlignment="1">
      <alignment horizontal="center"/>
    </xf>
    <xf numFmtId="0" fontId="15" fillId="0" borderId="11" xfId="8" applyFont="1" applyBorder="1" applyAlignment="1">
      <alignment horizontal="center"/>
    </xf>
    <xf numFmtId="0" fontId="15" fillId="0" borderId="12" xfId="8" applyFont="1" applyBorder="1" applyAlignment="1">
      <alignment horizontal="center"/>
    </xf>
    <xf numFmtId="0" fontId="12" fillId="0" borderId="12" xfId="8" applyBorder="1" applyAlignment="1">
      <alignment horizontal="center"/>
    </xf>
    <xf numFmtId="0" fontId="12" fillId="4" borderId="0" xfId="8" applyFill="1" applyBorder="1"/>
    <xf numFmtId="0" fontId="12" fillId="4" borderId="0" xfId="8" applyFill="1"/>
    <xf numFmtId="0" fontId="12" fillId="4" borderId="0" xfId="8" applyFill="1" applyAlignment="1">
      <alignment horizontal="center"/>
    </xf>
    <xf numFmtId="0" fontId="12" fillId="0" borderId="0" xfId="8" applyFont="1"/>
    <xf numFmtId="0" fontId="18" fillId="0" borderId="0" xfId="0" applyFont="1" applyAlignment="1">
      <alignment vertical="center"/>
    </xf>
    <xf numFmtId="0" fontId="19" fillId="0" borderId="0" xfId="0" applyFont="1"/>
    <xf numFmtId="0" fontId="0" fillId="6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/>
    <xf numFmtId="0" fontId="0" fillId="10" borderId="0" xfId="0" applyFill="1" applyAlignment="1">
      <alignment horizontal="center"/>
    </xf>
    <xf numFmtId="0" fontId="0" fillId="0" borderId="0" xfId="0" applyFont="1"/>
    <xf numFmtId="0" fontId="0" fillId="11" borderId="0" xfId="0" applyFill="1" applyAlignment="1">
      <alignment horizontal="center"/>
    </xf>
    <xf numFmtId="0" fontId="0" fillId="0" borderId="0" xfId="0" applyFill="1" applyBorder="1"/>
    <xf numFmtId="0" fontId="3" fillId="0" borderId="0" xfId="0" applyFont="1" applyFill="1" applyBorder="1"/>
    <xf numFmtId="0" fontId="11" fillId="4" borderId="0" xfId="8" applyFont="1" applyFill="1" applyBorder="1"/>
    <xf numFmtId="0" fontId="11" fillId="4" borderId="0" xfId="8" applyFont="1" applyFill="1" applyBorder="1" applyAlignment="1">
      <alignment horizontal="center"/>
    </xf>
    <xf numFmtId="0" fontId="2" fillId="4" borderId="1" xfId="8" applyFont="1" applyFill="1" applyBorder="1"/>
    <xf numFmtId="0" fontId="1" fillId="4" borderId="1" xfId="8" applyFont="1" applyFill="1" applyBorder="1"/>
    <xf numFmtId="0" fontId="0" fillId="0" borderId="0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Border="1"/>
    <xf numFmtId="0" fontId="0" fillId="0" borderId="14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3" fillId="0" borderId="0" xfId="0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3" fillId="0" borderId="20" xfId="0" applyFont="1" applyBorder="1"/>
    <xf numFmtId="0" fontId="20" fillId="0" borderId="20" xfId="0" applyFont="1" applyBorder="1" applyAlignment="1">
      <alignment horizontal="center"/>
    </xf>
    <xf numFmtId="0" fontId="0" fillId="0" borderId="21" xfId="0" applyBorder="1"/>
    <xf numFmtId="0" fontId="3" fillId="0" borderId="0" xfId="0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0" fillId="11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1" fillId="0" borderId="0" xfId="0" applyFont="1" applyBorder="1" applyAlignment="1">
      <alignment horizontal="center"/>
    </xf>
  </cellXfs>
  <cellStyles count="11">
    <cellStyle name="Ctx_Hyperlink" xfId="1"/>
    <cellStyle name="Excel Built-in Hyperlink" xfId="9"/>
    <cellStyle name="Excel Built-in Normal" xfId="10"/>
    <cellStyle name="Hyperlink" xfId="2" builtinId="8"/>
    <cellStyle name="Hyperlink 2" xfId="3"/>
    <cellStyle name="Normal" xfId="0" builtinId="0"/>
    <cellStyle name="Normal 2" xfId="4"/>
    <cellStyle name="Normal 2 2" xfId="5"/>
    <cellStyle name="Normal 2 3 2" xfId="6"/>
    <cellStyle name="Normal 3" xfId="7"/>
    <cellStyle name="Normal 4" xfId="8"/>
  </cellStyles>
  <dxfs count="4"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Mike%20Grubb\Google%20Drive\RFP%2040th\RFP%2040%20Logo%20trans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450850</xdr:colOff>
      <xdr:row>27</xdr:row>
      <xdr:rowOff>69850</xdr:rowOff>
    </xdr:from>
    <xdr:to>
      <xdr:col>15</xdr:col>
      <xdr:colOff>527050</xdr:colOff>
      <xdr:row>33</xdr:row>
      <xdr:rowOff>88900</xdr:rowOff>
    </xdr:to>
    <xdr:sp macro="" textlink="">
      <xdr:nvSpPr>
        <xdr:cNvPr id="2" name="TABLE 1"/>
        <xdr:cNvSpPr/>
      </xdr:nvSpPr>
      <xdr:spPr bwMode="auto">
        <a:xfrm>
          <a:off x="7785100" y="10795000"/>
          <a:ext cx="1905000" cy="1905000"/>
        </a:xfrm>
        <a:prstGeom prst="ellipse">
          <a:avLst/>
        </a:prstGeom>
        <a:solidFill>
          <a:srgbClr val="CCC0DA">
            <a:alpha val="80000"/>
          </a:srgbClr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r>
            <a:rPr lang="en-GB" sz="2000" b="0" i="0" u="none" strike="noStrike">
              <a:solidFill>
                <a:srgbClr val="000000"/>
              </a:solidFill>
              <a:latin typeface="Arial"/>
            </a:rPr>
            <a:t>Wings</a:t>
          </a:r>
        </a:p>
      </xdr:txBody>
    </xdr:sp>
    <xdr:clientData/>
  </xdr:twoCellAnchor>
  <xdr:twoCellAnchor>
    <xdr:from>
      <xdr:col>15</xdr:col>
      <xdr:colOff>133350</xdr:colOff>
      <xdr:row>32</xdr:row>
      <xdr:rowOff>111125</xdr:rowOff>
    </xdr:from>
    <xdr:to>
      <xdr:col>16</xdr:col>
      <xdr:colOff>514350</xdr:colOff>
      <xdr:row>34</xdr:row>
      <xdr:rowOff>282575</xdr:rowOff>
    </xdr:to>
    <xdr:sp macro="" textlink="$E$10">
      <xdr:nvSpPr>
        <xdr:cNvPr id="3" name="1.1"/>
        <xdr:cNvSpPr/>
      </xdr:nvSpPr>
      <xdr:spPr bwMode="auto">
        <a:xfrm>
          <a:off x="9296400" y="12407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C7E1D25A-8CF5-4FDB-B54C-C64BD03A3305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Jamie Reynolds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15</xdr:col>
      <xdr:colOff>577850</xdr:colOff>
      <xdr:row>28</xdr:row>
      <xdr:rowOff>301625</xdr:rowOff>
    </xdr:from>
    <xdr:to>
      <xdr:col>17</xdr:col>
      <xdr:colOff>349250</xdr:colOff>
      <xdr:row>31</xdr:row>
      <xdr:rowOff>158750</xdr:rowOff>
    </xdr:to>
    <xdr:sp macro="" textlink="$E$11">
      <xdr:nvSpPr>
        <xdr:cNvPr id="4" name="1.2"/>
        <xdr:cNvSpPr/>
      </xdr:nvSpPr>
      <xdr:spPr bwMode="auto">
        <a:xfrm>
          <a:off x="9740900" y="113411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1F980BBB-6523-4177-8626-D827100A009A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Sophie Reynolds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15</xdr:col>
      <xdr:colOff>133350</xdr:colOff>
      <xdr:row>25</xdr:row>
      <xdr:rowOff>190500</xdr:rowOff>
    </xdr:from>
    <xdr:to>
      <xdr:col>16</xdr:col>
      <xdr:colOff>514350</xdr:colOff>
      <xdr:row>28</xdr:row>
      <xdr:rowOff>47625</xdr:rowOff>
    </xdr:to>
    <xdr:sp macro="" textlink="$E$12">
      <xdr:nvSpPr>
        <xdr:cNvPr id="5" name="1.3"/>
        <xdr:cNvSpPr/>
      </xdr:nvSpPr>
      <xdr:spPr bwMode="auto">
        <a:xfrm>
          <a:off x="9296400" y="10287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B5072424-C6AE-4D1A-AF14-6D8179657EEB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Liam Hale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13</xdr:col>
      <xdr:colOff>298450</xdr:colOff>
      <xdr:row>24</xdr:row>
      <xdr:rowOff>73025</xdr:rowOff>
    </xdr:from>
    <xdr:to>
      <xdr:col>15</xdr:col>
      <xdr:colOff>69850</xdr:colOff>
      <xdr:row>26</xdr:row>
      <xdr:rowOff>244475</xdr:rowOff>
    </xdr:to>
    <xdr:sp macro="" textlink="$E$13">
      <xdr:nvSpPr>
        <xdr:cNvPr id="6" name="1.4"/>
        <xdr:cNvSpPr/>
      </xdr:nvSpPr>
      <xdr:spPr bwMode="auto">
        <a:xfrm>
          <a:off x="8242300" y="98552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DDDE8101-17FD-44D6-8155-00B6128295E9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 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11</xdr:col>
      <xdr:colOff>463550</xdr:colOff>
      <xdr:row>25</xdr:row>
      <xdr:rowOff>190500</xdr:rowOff>
    </xdr:from>
    <xdr:to>
      <xdr:col>13</xdr:col>
      <xdr:colOff>234950</xdr:colOff>
      <xdr:row>28</xdr:row>
      <xdr:rowOff>47625</xdr:rowOff>
    </xdr:to>
    <xdr:sp macro="" textlink="$E$14">
      <xdr:nvSpPr>
        <xdr:cNvPr id="7" name="1.5"/>
        <xdr:cNvSpPr/>
      </xdr:nvSpPr>
      <xdr:spPr bwMode="auto">
        <a:xfrm>
          <a:off x="7188200" y="10287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AB51AEBB-E456-4040-A66F-1345528862AB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Ben Tillett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11</xdr:col>
      <xdr:colOff>19050</xdr:colOff>
      <xdr:row>29</xdr:row>
      <xdr:rowOff>0</xdr:rowOff>
    </xdr:from>
    <xdr:to>
      <xdr:col>12</xdr:col>
      <xdr:colOff>400050</xdr:colOff>
      <xdr:row>31</xdr:row>
      <xdr:rowOff>171450</xdr:rowOff>
    </xdr:to>
    <xdr:sp macro="" textlink="$E$15">
      <xdr:nvSpPr>
        <xdr:cNvPr id="8" name="1.6"/>
        <xdr:cNvSpPr/>
      </xdr:nvSpPr>
      <xdr:spPr bwMode="auto">
        <a:xfrm>
          <a:off x="6743700" y="113538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2A83954F-2C4D-446D-B3D3-6EDCDB437E48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Sarah Tillett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11</xdr:col>
      <xdr:colOff>463550</xdr:colOff>
      <xdr:row>32</xdr:row>
      <xdr:rowOff>111125</xdr:rowOff>
    </xdr:from>
    <xdr:to>
      <xdr:col>13</xdr:col>
      <xdr:colOff>234950</xdr:colOff>
      <xdr:row>34</xdr:row>
      <xdr:rowOff>282575</xdr:rowOff>
    </xdr:to>
    <xdr:sp macro="" textlink="$E$16">
      <xdr:nvSpPr>
        <xdr:cNvPr id="9" name="1.7"/>
        <xdr:cNvSpPr/>
      </xdr:nvSpPr>
      <xdr:spPr bwMode="auto">
        <a:xfrm>
          <a:off x="7188200" y="12407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45FC8AE0-A037-4445-A9FD-63E759AA5360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Paul Holcroft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13</xdr:col>
      <xdr:colOff>298450</xdr:colOff>
      <xdr:row>33</xdr:row>
      <xdr:rowOff>241300</xdr:rowOff>
    </xdr:from>
    <xdr:to>
      <xdr:col>15</xdr:col>
      <xdr:colOff>69850</xdr:colOff>
      <xdr:row>36</xdr:row>
      <xdr:rowOff>98425</xdr:rowOff>
    </xdr:to>
    <xdr:sp macro="" textlink="$E$17">
      <xdr:nvSpPr>
        <xdr:cNvPr id="10" name="1.8"/>
        <xdr:cNvSpPr/>
      </xdr:nvSpPr>
      <xdr:spPr bwMode="auto">
        <a:xfrm>
          <a:off x="8242300" y="128524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AACCBA4B-C6D2-4FDB-BAC6-ED9B1C1A47BF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Sue Holcroft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21</xdr:col>
      <xdr:colOff>44450</xdr:colOff>
      <xdr:row>27</xdr:row>
      <xdr:rowOff>69850</xdr:rowOff>
    </xdr:from>
    <xdr:to>
      <xdr:col>24</xdr:col>
      <xdr:colOff>120650</xdr:colOff>
      <xdr:row>33</xdr:row>
      <xdr:rowOff>88900</xdr:rowOff>
    </xdr:to>
    <xdr:sp macro="" textlink="">
      <xdr:nvSpPr>
        <xdr:cNvPr id="11" name="TABLE 2"/>
        <xdr:cNvSpPr/>
      </xdr:nvSpPr>
      <xdr:spPr bwMode="auto">
        <a:xfrm>
          <a:off x="12865100" y="10795000"/>
          <a:ext cx="1905000" cy="1905000"/>
        </a:xfrm>
        <a:prstGeom prst="ellipse">
          <a:avLst/>
        </a:prstGeom>
        <a:solidFill>
          <a:srgbClr val="FFC000">
            <a:alpha val="80000"/>
          </a:srgbClr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r>
            <a:rPr lang="en-GB" sz="2000" b="0" i="0" u="none" strike="noStrike">
              <a:solidFill>
                <a:srgbClr val="000000"/>
              </a:solidFill>
              <a:latin typeface="Arial"/>
            </a:rPr>
            <a:t>ABBA</a:t>
          </a:r>
        </a:p>
      </xdr:txBody>
    </xdr:sp>
    <xdr:clientData/>
  </xdr:twoCellAnchor>
  <xdr:twoCellAnchor>
    <xdr:from>
      <xdr:col>23</xdr:col>
      <xdr:colOff>336550</xdr:colOff>
      <xdr:row>32</xdr:row>
      <xdr:rowOff>111125</xdr:rowOff>
    </xdr:from>
    <xdr:to>
      <xdr:col>25</xdr:col>
      <xdr:colOff>107950</xdr:colOff>
      <xdr:row>34</xdr:row>
      <xdr:rowOff>282575</xdr:rowOff>
    </xdr:to>
    <xdr:sp macro="" textlink="$E$18">
      <xdr:nvSpPr>
        <xdr:cNvPr id="12" name="2.1"/>
        <xdr:cNvSpPr/>
      </xdr:nvSpPr>
      <xdr:spPr bwMode="auto">
        <a:xfrm>
          <a:off x="14376400" y="12407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28AFAF85-43B9-4E0C-8A1E-EC8D86BFE956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Ken Wilkinson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24</xdr:col>
      <xdr:colOff>171450</xdr:colOff>
      <xdr:row>28</xdr:row>
      <xdr:rowOff>301625</xdr:rowOff>
    </xdr:from>
    <xdr:to>
      <xdr:col>25</xdr:col>
      <xdr:colOff>552450</xdr:colOff>
      <xdr:row>31</xdr:row>
      <xdr:rowOff>158750</xdr:rowOff>
    </xdr:to>
    <xdr:sp macro="" textlink="$E$19">
      <xdr:nvSpPr>
        <xdr:cNvPr id="13" name="2.2"/>
        <xdr:cNvSpPr/>
      </xdr:nvSpPr>
      <xdr:spPr bwMode="auto">
        <a:xfrm>
          <a:off x="14820900" y="113411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7CD0078E-0A37-4681-BFBA-EA5F4AF79E6E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Angela Wilkinson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23</xdr:col>
      <xdr:colOff>336550</xdr:colOff>
      <xdr:row>25</xdr:row>
      <xdr:rowOff>190500</xdr:rowOff>
    </xdr:from>
    <xdr:to>
      <xdr:col>25</xdr:col>
      <xdr:colOff>107950</xdr:colOff>
      <xdr:row>28</xdr:row>
      <xdr:rowOff>47625</xdr:rowOff>
    </xdr:to>
    <xdr:sp macro="" textlink="$E$20">
      <xdr:nvSpPr>
        <xdr:cNvPr id="14" name="2.3"/>
        <xdr:cNvSpPr/>
      </xdr:nvSpPr>
      <xdr:spPr bwMode="auto">
        <a:xfrm>
          <a:off x="14376400" y="10287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992D64DD-EB61-49D7-B749-D2AA4A061EF4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George Baines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21</xdr:col>
      <xdr:colOff>501650</xdr:colOff>
      <xdr:row>24</xdr:row>
      <xdr:rowOff>73025</xdr:rowOff>
    </xdr:from>
    <xdr:to>
      <xdr:col>23</xdr:col>
      <xdr:colOff>273050</xdr:colOff>
      <xdr:row>26</xdr:row>
      <xdr:rowOff>244475</xdr:rowOff>
    </xdr:to>
    <xdr:sp macro="" textlink="$E$21">
      <xdr:nvSpPr>
        <xdr:cNvPr id="15" name="2.4"/>
        <xdr:cNvSpPr/>
      </xdr:nvSpPr>
      <xdr:spPr bwMode="auto">
        <a:xfrm>
          <a:off x="13322300" y="98552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3CC66244-9FD0-4FB4-9E3B-744BCB01746F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 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20</xdr:col>
      <xdr:colOff>57150</xdr:colOff>
      <xdr:row>25</xdr:row>
      <xdr:rowOff>190500</xdr:rowOff>
    </xdr:from>
    <xdr:to>
      <xdr:col>21</xdr:col>
      <xdr:colOff>438150</xdr:colOff>
      <xdr:row>28</xdr:row>
      <xdr:rowOff>47625</xdr:rowOff>
    </xdr:to>
    <xdr:sp macro="" textlink="$E$22">
      <xdr:nvSpPr>
        <xdr:cNvPr id="16" name="2.5"/>
        <xdr:cNvSpPr/>
      </xdr:nvSpPr>
      <xdr:spPr bwMode="auto">
        <a:xfrm>
          <a:off x="12268200" y="10287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27BFA2FC-D36C-404D-8B93-570B4CF801B7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Stuart Berrisford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19</xdr:col>
      <xdr:colOff>222250</xdr:colOff>
      <xdr:row>29</xdr:row>
      <xdr:rowOff>0</xdr:rowOff>
    </xdr:from>
    <xdr:to>
      <xdr:col>20</xdr:col>
      <xdr:colOff>603250</xdr:colOff>
      <xdr:row>31</xdr:row>
      <xdr:rowOff>171450</xdr:rowOff>
    </xdr:to>
    <xdr:sp macro="" textlink="$E$23">
      <xdr:nvSpPr>
        <xdr:cNvPr id="17" name="2.6"/>
        <xdr:cNvSpPr/>
      </xdr:nvSpPr>
      <xdr:spPr bwMode="auto">
        <a:xfrm>
          <a:off x="11823700" y="113538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B1D9D4A6-EED6-4B56-BCF7-D6A54A3446F4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Richard Day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20</xdr:col>
      <xdr:colOff>57150</xdr:colOff>
      <xdr:row>32</xdr:row>
      <xdr:rowOff>111125</xdr:rowOff>
    </xdr:from>
    <xdr:to>
      <xdr:col>21</xdr:col>
      <xdr:colOff>438150</xdr:colOff>
      <xdr:row>34</xdr:row>
      <xdr:rowOff>282575</xdr:rowOff>
    </xdr:to>
    <xdr:sp macro="" textlink="$E$24">
      <xdr:nvSpPr>
        <xdr:cNvPr id="18" name="2.7"/>
        <xdr:cNvSpPr/>
      </xdr:nvSpPr>
      <xdr:spPr bwMode="auto">
        <a:xfrm>
          <a:off x="12268200" y="12407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6E560FED-1127-4B7F-8D65-D19E21944A76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Gilly Wood Roberts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21</xdr:col>
      <xdr:colOff>501650</xdr:colOff>
      <xdr:row>33</xdr:row>
      <xdr:rowOff>241300</xdr:rowOff>
    </xdr:from>
    <xdr:to>
      <xdr:col>23</xdr:col>
      <xdr:colOff>273050</xdr:colOff>
      <xdr:row>36</xdr:row>
      <xdr:rowOff>98425</xdr:rowOff>
    </xdr:to>
    <xdr:sp macro="" textlink="$E$25">
      <xdr:nvSpPr>
        <xdr:cNvPr id="19" name="2.8"/>
        <xdr:cNvSpPr/>
      </xdr:nvSpPr>
      <xdr:spPr bwMode="auto">
        <a:xfrm>
          <a:off x="13322300" y="128524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F35F70D3-48DD-41F0-B4C6-B8D7114A28D4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Dave Roberts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8</xdr:col>
      <xdr:colOff>349250</xdr:colOff>
      <xdr:row>42</xdr:row>
      <xdr:rowOff>180975</xdr:rowOff>
    </xdr:from>
    <xdr:to>
      <xdr:col>11</xdr:col>
      <xdr:colOff>425450</xdr:colOff>
      <xdr:row>48</xdr:row>
      <xdr:rowOff>200025</xdr:rowOff>
    </xdr:to>
    <xdr:sp macro="" textlink="">
      <xdr:nvSpPr>
        <xdr:cNvPr id="20" name="TABLE 3"/>
        <xdr:cNvSpPr/>
      </xdr:nvSpPr>
      <xdr:spPr bwMode="auto">
        <a:xfrm>
          <a:off x="5245100" y="15621000"/>
          <a:ext cx="1905000" cy="1905000"/>
        </a:xfrm>
        <a:prstGeom prst="ellipse">
          <a:avLst/>
        </a:prstGeom>
        <a:solidFill>
          <a:srgbClr val="FFFF99">
            <a:alpha val="80000"/>
          </a:srgbClr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r>
            <a:rPr lang="en-GB" sz="2000" b="0" i="0" u="none" strike="noStrike">
              <a:solidFill>
                <a:srgbClr val="000000"/>
              </a:solidFill>
              <a:latin typeface="Arial"/>
            </a:rPr>
            <a:t>Showaddywaddy</a:t>
          </a:r>
        </a:p>
      </xdr:txBody>
    </xdr:sp>
    <xdr:clientData/>
  </xdr:twoCellAnchor>
  <xdr:twoCellAnchor>
    <xdr:from>
      <xdr:col>11</xdr:col>
      <xdr:colOff>31750</xdr:colOff>
      <xdr:row>47</xdr:row>
      <xdr:rowOff>222250</xdr:rowOff>
    </xdr:from>
    <xdr:to>
      <xdr:col>12</xdr:col>
      <xdr:colOff>412750</xdr:colOff>
      <xdr:row>50</xdr:row>
      <xdr:rowOff>79375</xdr:rowOff>
    </xdr:to>
    <xdr:sp macro="" textlink="$E$26">
      <xdr:nvSpPr>
        <xdr:cNvPr id="21" name="3.1"/>
        <xdr:cNvSpPr/>
      </xdr:nvSpPr>
      <xdr:spPr bwMode="auto">
        <a:xfrm>
          <a:off x="6756400" y="17233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2C6632AC-C6D7-4C06-962E-82D13D062725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Brian Manby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11</xdr:col>
      <xdr:colOff>476250</xdr:colOff>
      <xdr:row>44</xdr:row>
      <xdr:rowOff>98425</xdr:rowOff>
    </xdr:from>
    <xdr:to>
      <xdr:col>13</xdr:col>
      <xdr:colOff>247650</xdr:colOff>
      <xdr:row>46</xdr:row>
      <xdr:rowOff>269875</xdr:rowOff>
    </xdr:to>
    <xdr:sp macro="" textlink="$E$27">
      <xdr:nvSpPr>
        <xdr:cNvPr id="22" name="3.2"/>
        <xdr:cNvSpPr/>
      </xdr:nvSpPr>
      <xdr:spPr bwMode="auto">
        <a:xfrm>
          <a:off x="7200900" y="161671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CB7B73FF-7B58-46B1-86EC-6A96C2DC6162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Pat Manby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11</xdr:col>
      <xdr:colOff>31750</xdr:colOff>
      <xdr:row>40</xdr:row>
      <xdr:rowOff>301625</xdr:rowOff>
    </xdr:from>
    <xdr:to>
      <xdr:col>12</xdr:col>
      <xdr:colOff>412750</xdr:colOff>
      <xdr:row>43</xdr:row>
      <xdr:rowOff>158750</xdr:rowOff>
    </xdr:to>
    <xdr:sp macro="" textlink="$E$28">
      <xdr:nvSpPr>
        <xdr:cNvPr id="23" name="3.3"/>
        <xdr:cNvSpPr/>
      </xdr:nvSpPr>
      <xdr:spPr bwMode="auto">
        <a:xfrm>
          <a:off x="6756400" y="15113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D519D2CC-94B2-4144-94CA-703730BE247E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Karina Manby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9</xdr:col>
      <xdr:colOff>196850</xdr:colOff>
      <xdr:row>39</xdr:row>
      <xdr:rowOff>184150</xdr:rowOff>
    </xdr:from>
    <xdr:to>
      <xdr:col>10</xdr:col>
      <xdr:colOff>577850</xdr:colOff>
      <xdr:row>42</xdr:row>
      <xdr:rowOff>41275</xdr:rowOff>
    </xdr:to>
    <xdr:sp macro="" textlink="$E$29">
      <xdr:nvSpPr>
        <xdr:cNvPr id="24" name="3.4"/>
        <xdr:cNvSpPr/>
      </xdr:nvSpPr>
      <xdr:spPr bwMode="auto">
        <a:xfrm>
          <a:off x="5702300" y="146812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D15CF0FF-1599-44A1-8739-C189683ADB2D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Adrian Manby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7</xdr:col>
      <xdr:colOff>361950</xdr:colOff>
      <xdr:row>40</xdr:row>
      <xdr:rowOff>301625</xdr:rowOff>
    </xdr:from>
    <xdr:to>
      <xdr:col>9</xdr:col>
      <xdr:colOff>133350</xdr:colOff>
      <xdr:row>43</xdr:row>
      <xdr:rowOff>158750</xdr:rowOff>
    </xdr:to>
    <xdr:sp macro="" textlink="$E$30">
      <xdr:nvSpPr>
        <xdr:cNvPr id="25" name="3.5"/>
        <xdr:cNvSpPr/>
      </xdr:nvSpPr>
      <xdr:spPr bwMode="auto">
        <a:xfrm>
          <a:off x="4648200" y="15113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C51C4CE4-654F-4F0F-8198-5A90A6590B08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Nigel Rowsell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6</xdr:col>
      <xdr:colOff>527050</xdr:colOff>
      <xdr:row>44</xdr:row>
      <xdr:rowOff>111125</xdr:rowOff>
    </xdr:from>
    <xdr:to>
      <xdr:col>8</xdr:col>
      <xdr:colOff>298450</xdr:colOff>
      <xdr:row>46</xdr:row>
      <xdr:rowOff>282575</xdr:rowOff>
    </xdr:to>
    <xdr:sp macro="" textlink="$E$31">
      <xdr:nvSpPr>
        <xdr:cNvPr id="26" name="3.6"/>
        <xdr:cNvSpPr/>
      </xdr:nvSpPr>
      <xdr:spPr bwMode="auto">
        <a:xfrm>
          <a:off x="4203700" y="161798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BE362AEE-4922-4577-A31F-670C7FD5A487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Tracey Roswell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7</xdr:col>
      <xdr:colOff>361950</xdr:colOff>
      <xdr:row>47</xdr:row>
      <xdr:rowOff>222250</xdr:rowOff>
    </xdr:from>
    <xdr:to>
      <xdr:col>9</xdr:col>
      <xdr:colOff>133350</xdr:colOff>
      <xdr:row>50</xdr:row>
      <xdr:rowOff>79375</xdr:rowOff>
    </xdr:to>
    <xdr:sp macro="" textlink="$E$32">
      <xdr:nvSpPr>
        <xdr:cNvPr id="27" name="3.7"/>
        <xdr:cNvSpPr/>
      </xdr:nvSpPr>
      <xdr:spPr bwMode="auto">
        <a:xfrm>
          <a:off x="4648200" y="17233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25918340-2C01-4F43-B3FB-E08765A29998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John Welsman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9</xdr:col>
      <xdr:colOff>196850</xdr:colOff>
      <xdr:row>49</xdr:row>
      <xdr:rowOff>38100</xdr:rowOff>
    </xdr:from>
    <xdr:to>
      <xdr:col>10</xdr:col>
      <xdr:colOff>577850</xdr:colOff>
      <xdr:row>51</xdr:row>
      <xdr:rowOff>209550</xdr:rowOff>
    </xdr:to>
    <xdr:sp macro="" textlink="$E$33">
      <xdr:nvSpPr>
        <xdr:cNvPr id="28" name="3.8"/>
        <xdr:cNvSpPr/>
      </xdr:nvSpPr>
      <xdr:spPr bwMode="auto">
        <a:xfrm>
          <a:off x="5702300" y="176784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E54C608A-8D24-4D32-8E61-46D03CB7781F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Jan Welsman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16</xdr:col>
      <xdr:colOff>552450</xdr:colOff>
      <xdr:row>42</xdr:row>
      <xdr:rowOff>180975</xdr:rowOff>
    </xdr:from>
    <xdr:to>
      <xdr:col>20</xdr:col>
      <xdr:colOff>19050</xdr:colOff>
      <xdr:row>48</xdr:row>
      <xdr:rowOff>200025</xdr:rowOff>
    </xdr:to>
    <xdr:sp macro="" textlink="">
      <xdr:nvSpPr>
        <xdr:cNvPr id="29" name="TABLE 4"/>
        <xdr:cNvSpPr/>
      </xdr:nvSpPr>
      <xdr:spPr bwMode="auto">
        <a:xfrm>
          <a:off x="10325100" y="15621000"/>
          <a:ext cx="1905000" cy="1905000"/>
        </a:xfrm>
        <a:prstGeom prst="ellipse">
          <a:avLst/>
        </a:prstGeom>
        <a:solidFill>
          <a:srgbClr val="92D050">
            <a:alpha val="80000"/>
          </a:srgbClr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r>
            <a:rPr lang="en-GB" sz="2000" b="0" i="0" u="none" strike="noStrike">
              <a:solidFill>
                <a:srgbClr val="000000"/>
              </a:solidFill>
              <a:latin typeface="Arial"/>
            </a:rPr>
            <a:t>The Real Thing</a:t>
          </a:r>
        </a:p>
      </xdr:txBody>
    </xdr:sp>
    <xdr:clientData/>
  </xdr:twoCellAnchor>
  <xdr:twoCellAnchor>
    <xdr:from>
      <xdr:col>19</xdr:col>
      <xdr:colOff>234950</xdr:colOff>
      <xdr:row>47</xdr:row>
      <xdr:rowOff>222250</xdr:rowOff>
    </xdr:from>
    <xdr:to>
      <xdr:col>21</xdr:col>
      <xdr:colOff>6350</xdr:colOff>
      <xdr:row>50</xdr:row>
      <xdr:rowOff>79375</xdr:rowOff>
    </xdr:to>
    <xdr:sp macro="" textlink="$E$34">
      <xdr:nvSpPr>
        <xdr:cNvPr id="30" name="4.1"/>
        <xdr:cNvSpPr/>
      </xdr:nvSpPr>
      <xdr:spPr bwMode="auto">
        <a:xfrm>
          <a:off x="11836400" y="17233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527D17C1-5210-4D8B-8022-6196D33BAE39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Malcolm Treen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20</xdr:col>
      <xdr:colOff>69850</xdr:colOff>
      <xdr:row>44</xdr:row>
      <xdr:rowOff>98425</xdr:rowOff>
    </xdr:from>
    <xdr:to>
      <xdr:col>21</xdr:col>
      <xdr:colOff>450850</xdr:colOff>
      <xdr:row>46</xdr:row>
      <xdr:rowOff>269875</xdr:rowOff>
    </xdr:to>
    <xdr:sp macro="" textlink="$E$35">
      <xdr:nvSpPr>
        <xdr:cNvPr id="31" name="4.2"/>
        <xdr:cNvSpPr/>
      </xdr:nvSpPr>
      <xdr:spPr bwMode="auto">
        <a:xfrm>
          <a:off x="12280900" y="161671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ADFFB8D5-18B1-468C-B0CA-275610520C36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Mary Treen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19</xdr:col>
      <xdr:colOff>234950</xdr:colOff>
      <xdr:row>40</xdr:row>
      <xdr:rowOff>301625</xdr:rowOff>
    </xdr:from>
    <xdr:to>
      <xdr:col>21</xdr:col>
      <xdr:colOff>6350</xdr:colOff>
      <xdr:row>43</xdr:row>
      <xdr:rowOff>158750</xdr:rowOff>
    </xdr:to>
    <xdr:sp macro="" textlink="$E$36">
      <xdr:nvSpPr>
        <xdr:cNvPr id="1184" name="4.3"/>
        <xdr:cNvSpPr/>
      </xdr:nvSpPr>
      <xdr:spPr bwMode="auto">
        <a:xfrm>
          <a:off x="11836400" y="15113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1312E333-1F94-442A-BF65-ECEEBAF9537E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David Keay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17</xdr:col>
      <xdr:colOff>400050</xdr:colOff>
      <xdr:row>39</xdr:row>
      <xdr:rowOff>184150</xdr:rowOff>
    </xdr:from>
    <xdr:to>
      <xdr:col>19</xdr:col>
      <xdr:colOff>171450</xdr:colOff>
      <xdr:row>42</xdr:row>
      <xdr:rowOff>41275</xdr:rowOff>
    </xdr:to>
    <xdr:sp macro="" textlink="$E$37">
      <xdr:nvSpPr>
        <xdr:cNvPr id="1185" name="4.4"/>
        <xdr:cNvSpPr/>
      </xdr:nvSpPr>
      <xdr:spPr bwMode="auto">
        <a:xfrm>
          <a:off x="10782300" y="146812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1794BD4C-4085-45D1-8D72-648127E9EDE0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Jackie Keay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15</xdr:col>
      <xdr:colOff>565150</xdr:colOff>
      <xdr:row>40</xdr:row>
      <xdr:rowOff>301625</xdr:rowOff>
    </xdr:from>
    <xdr:to>
      <xdr:col>17</xdr:col>
      <xdr:colOff>336550</xdr:colOff>
      <xdr:row>43</xdr:row>
      <xdr:rowOff>158750</xdr:rowOff>
    </xdr:to>
    <xdr:sp macro="" textlink="$E$38">
      <xdr:nvSpPr>
        <xdr:cNvPr id="1186" name="4.5"/>
        <xdr:cNvSpPr/>
      </xdr:nvSpPr>
      <xdr:spPr bwMode="auto">
        <a:xfrm>
          <a:off x="9728200" y="15113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CFDD9D3F-909C-4A06-8FEC-8E31986884A3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Malcolm Edwards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15</xdr:col>
      <xdr:colOff>120650</xdr:colOff>
      <xdr:row>44</xdr:row>
      <xdr:rowOff>111125</xdr:rowOff>
    </xdr:from>
    <xdr:to>
      <xdr:col>16</xdr:col>
      <xdr:colOff>501650</xdr:colOff>
      <xdr:row>46</xdr:row>
      <xdr:rowOff>282575</xdr:rowOff>
    </xdr:to>
    <xdr:sp macro="" textlink="$E$39">
      <xdr:nvSpPr>
        <xdr:cNvPr id="1187" name="4.6"/>
        <xdr:cNvSpPr/>
      </xdr:nvSpPr>
      <xdr:spPr bwMode="auto">
        <a:xfrm>
          <a:off x="9283700" y="161798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CBF8CE49-5222-474E-B876-8911D816AB94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Theresa Edwards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15</xdr:col>
      <xdr:colOff>565150</xdr:colOff>
      <xdr:row>47</xdr:row>
      <xdr:rowOff>222250</xdr:rowOff>
    </xdr:from>
    <xdr:to>
      <xdr:col>17</xdr:col>
      <xdr:colOff>336550</xdr:colOff>
      <xdr:row>50</xdr:row>
      <xdr:rowOff>79375</xdr:rowOff>
    </xdr:to>
    <xdr:sp macro="" textlink="$E$40">
      <xdr:nvSpPr>
        <xdr:cNvPr id="1188" name="4.7"/>
        <xdr:cNvSpPr/>
      </xdr:nvSpPr>
      <xdr:spPr bwMode="auto">
        <a:xfrm>
          <a:off x="9728200" y="17233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ECE95559-46DD-4E24-BBD5-439884EBF332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Peter Franklin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17</xdr:col>
      <xdr:colOff>400050</xdr:colOff>
      <xdr:row>49</xdr:row>
      <xdr:rowOff>38100</xdr:rowOff>
    </xdr:from>
    <xdr:to>
      <xdr:col>19</xdr:col>
      <xdr:colOff>171450</xdr:colOff>
      <xdr:row>51</xdr:row>
      <xdr:rowOff>209550</xdr:rowOff>
    </xdr:to>
    <xdr:sp macro="" textlink="$E$41">
      <xdr:nvSpPr>
        <xdr:cNvPr id="1189" name="4.8"/>
        <xdr:cNvSpPr/>
      </xdr:nvSpPr>
      <xdr:spPr bwMode="auto">
        <a:xfrm>
          <a:off x="10782300" y="176784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361E2E20-DB4C-4D41-B651-163C3CA1856F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Jenny Franklin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25</xdr:col>
      <xdr:colOff>146050</xdr:colOff>
      <xdr:row>42</xdr:row>
      <xdr:rowOff>180975</xdr:rowOff>
    </xdr:from>
    <xdr:to>
      <xdr:col>28</xdr:col>
      <xdr:colOff>222250</xdr:colOff>
      <xdr:row>48</xdr:row>
      <xdr:rowOff>200025</xdr:rowOff>
    </xdr:to>
    <xdr:sp macro="" textlink="">
      <xdr:nvSpPr>
        <xdr:cNvPr id="1190" name="TABLE 5"/>
        <xdr:cNvSpPr/>
      </xdr:nvSpPr>
      <xdr:spPr bwMode="auto">
        <a:xfrm>
          <a:off x="15405100" y="15621000"/>
          <a:ext cx="1905000" cy="1905000"/>
        </a:xfrm>
        <a:prstGeom prst="ellipse">
          <a:avLst/>
        </a:prstGeom>
        <a:solidFill>
          <a:srgbClr val="00B0F0">
            <a:alpha val="80000"/>
          </a:srgbClr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r>
            <a:rPr lang="en-GB" sz="2000" b="0" i="0" u="none" strike="noStrike">
              <a:solidFill>
                <a:srgbClr val="000000"/>
              </a:solidFill>
              <a:latin typeface="Arial"/>
            </a:rPr>
            <a:t>The Manhattans</a:t>
          </a:r>
        </a:p>
      </xdr:txBody>
    </xdr:sp>
    <xdr:clientData/>
  </xdr:twoCellAnchor>
  <xdr:twoCellAnchor>
    <xdr:from>
      <xdr:col>27</xdr:col>
      <xdr:colOff>438150</xdr:colOff>
      <xdr:row>47</xdr:row>
      <xdr:rowOff>222250</xdr:rowOff>
    </xdr:from>
    <xdr:to>
      <xdr:col>29</xdr:col>
      <xdr:colOff>209550</xdr:colOff>
      <xdr:row>50</xdr:row>
      <xdr:rowOff>79375</xdr:rowOff>
    </xdr:to>
    <xdr:sp macro="" textlink="$E$42">
      <xdr:nvSpPr>
        <xdr:cNvPr id="1191" name="5.1"/>
        <xdr:cNvSpPr/>
      </xdr:nvSpPr>
      <xdr:spPr bwMode="auto">
        <a:xfrm>
          <a:off x="16916400" y="17233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EE8E2E5C-94E1-43B0-BC81-6D00A5BCD51D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Bernie Cawson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28</xdr:col>
      <xdr:colOff>273050</xdr:colOff>
      <xdr:row>44</xdr:row>
      <xdr:rowOff>98425</xdr:rowOff>
    </xdr:from>
    <xdr:to>
      <xdr:col>30</xdr:col>
      <xdr:colOff>44450</xdr:colOff>
      <xdr:row>46</xdr:row>
      <xdr:rowOff>269875</xdr:rowOff>
    </xdr:to>
    <xdr:sp macro="" textlink="$E$43">
      <xdr:nvSpPr>
        <xdr:cNvPr id="1192" name="5.2"/>
        <xdr:cNvSpPr/>
      </xdr:nvSpPr>
      <xdr:spPr bwMode="auto">
        <a:xfrm>
          <a:off x="17360900" y="161671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E00A11DA-C8E6-4021-A22B-0CE2EB0A2421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Suzie Cawson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27</xdr:col>
      <xdr:colOff>438150</xdr:colOff>
      <xdr:row>40</xdr:row>
      <xdr:rowOff>301625</xdr:rowOff>
    </xdr:from>
    <xdr:to>
      <xdr:col>29</xdr:col>
      <xdr:colOff>209550</xdr:colOff>
      <xdr:row>43</xdr:row>
      <xdr:rowOff>158750</xdr:rowOff>
    </xdr:to>
    <xdr:sp macro="" textlink="$E$44">
      <xdr:nvSpPr>
        <xdr:cNvPr id="1193" name="5.3"/>
        <xdr:cNvSpPr/>
      </xdr:nvSpPr>
      <xdr:spPr bwMode="auto">
        <a:xfrm>
          <a:off x="16916400" y="15113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07CB6F6B-3034-46E7-BADE-40C0AC68A6F9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Shirley Day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25</xdr:col>
      <xdr:colOff>603250</xdr:colOff>
      <xdr:row>39</xdr:row>
      <xdr:rowOff>184150</xdr:rowOff>
    </xdr:from>
    <xdr:to>
      <xdr:col>27</xdr:col>
      <xdr:colOff>374650</xdr:colOff>
      <xdr:row>42</xdr:row>
      <xdr:rowOff>41275</xdr:rowOff>
    </xdr:to>
    <xdr:sp macro="" textlink="$E$45">
      <xdr:nvSpPr>
        <xdr:cNvPr id="1194" name="5.4"/>
        <xdr:cNvSpPr/>
      </xdr:nvSpPr>
      <xdr:spPr bwMode="auto">
        <a:xfrm>
          <a:off x="15862300" y="146812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9FB35E96-85C1-4B4B-AE55-0CECBD479482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Emma Lovell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24</xdr:col>
      <xdr:colOff>158750</xdr:colOff>
      <xdr:row>40</xdr:row>
      <xdr:rowOff>301625</xdr:rowOff>
    </xdr:from>
    <xdr:to>
      <xdr:col>25</xdr:col>
      <xdr:colOff>539750</xdr:colOff>
      <xdr:row>43</xdr:row>
      <xdr:rowOff>158750</xdr:rowOff>
    </xdr:to>
    <xdr:sp macro="" textlink="$E$46">
      <xdr:nvSpPr>
        <xdr:cNvPr id="1195" name="5.5"/>
        <xdr:cNvSpPr/>
      </xdr:nvSpPr>
      <xdr:spPr bwMode="auto">
        <a:xfrm>
          <a:off x="14808200" y="15113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58CF717B-06CD-4827-8789-3535BD2828DB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Heather Carter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23</xdr:col>
      <xdr:colOff>323850</xdr:colOff>
      <xdr:row>44</xdr:row>
      <xdr:rowOff>111125</xdr:rowOff>
    </xdr:from>
    <xdr:to>
      <xdr:col>25</xdr:col>
      <xdr:colOff>95250</xdr:colOff>
      <xdr:row>46</xdr:row>
      <xdr:rowOff>282575</xdr:rowOff>
    </xdr:to>
    <xdr:sp macro="" textlink="$E$47">
      <xdr:nvSpPr>
        <xdr:cNvPr id="1196" name="5.6"/>
        <xdr:cNvSpPr/>
      </xdr:nvSpPr>
      <xdr:spPr bwMode="auto">
        <a:xfrm>
          <a:off x="14363700" y="161798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2F31C414-132A-4D22-B03E-FBC764B1856F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Kayleigh Carter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24</xdr:col>
      <xdr:colOff>158750</xdr:colOff>
      <xdr:row>47</xdr:row>
      <xdr:rowOff>222250</xdr:rowOff>
    </xdr:from>
    <xdr:to>
      <xdr:col>25</xdr:col>
      <xdr:colOff>539750</xdr:colOff>
      <xdr:row>50</xdr:row>
      <xdr:rowOff>79375</xdr:rowOff>
    </xdr:to>
    <xdr:sp macro="" textlink="$E$48">
      <xdr:nvSpPr>
        <xdr:cNvPr id="1197" name="5.7"/>
        <xdr:cNvSpPr/>
      </xdr:nvSpPr>
      <xdr:spPr bwMode="auto">
        <a:xfrm>
          <a:off x="14808200" y="17233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C9DBE994-6E39-4260-822F-A345174C8DCB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Sharon Carter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25</xdr:col>
      <xdr:colOff>603250</xdr:colOff>
      <xdr:row>49</xdr:row>
      <xdr:rowOff>38100</xdr:rowOff>
    </xdr:from>
    <xdr:to>
      <xdr:col>27</xdr:col>
      <xdr:colOff>374650</xdr:colOff>
      <xdr:row>51</xdr:row>
      <xdr:rowOff>209550</xdr:rowOff>
    </xdr:to>
    <xdr:sp macro="" textlink="$E$49">
      <xdr:nvSpPr>
        <xdr:cNvPr id="1198" name="5.8"/>
        <xdr:cNvSpPr/>
      </xdr:nvSpPr>
      <xdr:spPr bwMode="auto">
        <a:xfrm>
          <a:off x="15862300" y="176784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DAD01B1C-B1BC-4506-8B6D-3E60553AB5C3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Alan Carter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12</xdr:col>
      <xdr:colOff>450850</xdr:colOff>
      <xdr:row>57</xdr:row>
      <xdr:rowOff>292100</xdr:rowOff>
    </xdr:from>
    <xdr:to>
      <xdr:col>15</xdr:col>
      <xdr:colOff>527050</xdr:colOff>
      <xdr:row>63</xdr:row>
      <xdr:rowOff>311150</xdr:rowOff>
    </xdr:to>
    <xdr:sp macro="" textlink="">
      <xdr:nvSpPr>
        <xdr:cNvPr id="1199" name="TABLE 6"/>
        <xdr:cNvSpPr/>
      </xdr:nvSpPr>
      <xdr:spPr bwMode="auto">
        <a:xfrm>
          <a:off x="7785100" y="20447000"/>
          <a:ext cx="1905000" cy="1905000"/>
        </a:xfrm>
        <a:prstGeom prst="ellipse">
          <a:avLst/>
        </a:prstGeom>
        <a:solidFill>
          <a:srgbClr val="B1A0C7">
            <a:alpha val="80000"/>
          </a:srgbClr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r>
            <a:rPr lang="en-GB" sz="2000" b="0" i="0" u="none" strike="noStrike">
              <a:solidFill>
                <a:srgbClr val="000000"/>
              </a:solidFill>
              <a:latin typeface="Arial"/>
            </a:rPr>
            <a:t>Bay City Rollers</a:t>
          </a:r>
        </a:p>
      </xdr:txBody>
    </xdr:sp>
    <xdr:clientData/>
  </xdr:twoCellAnchor>
  <xdr:twoCellAnchor>
    <xdr:from>
      <xdr:col>15</xdr:col>
      <xdr:colOff>133350</xdr:colOff>
      <xdr:row>63</xdr:row>
      <xdr:rowOff>19050</xdr:rowOff>
    </xdr:from>
    <xdr:to>
      <xdr:col>16</xdr:col>
      <xdr:colOff>514350</xdr:colOff>
      <xdr:row>65</xdr:row>
      <xdr:rowOff>190500</xdr:rowOff>
    </xdr:to>
    <xdr:sp macro="" textlink="$E$50">
      <xdr:nvSpPr>
        <xdr:cNvPr id="1200" name="6.1"/>
        <xdr:cNvSpPr/>
      </xdr:nvSpPr>
      <xdr:spPr bwMode="auto">
        <a:xfrm>
          <a:off x="9296400" y="22059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D30E94FC-1804-4CE8-A84D-A47B8BD1A666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Ed Mayne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15</xdr:col>
      <xdr:colOff>577850</xdr:colOff>
      <xdr:row>59</xdr:row>
      <xdr:rowOff>209550</xdr:rowOff>
    </xdr:from>
    <xdr:to>
      <xdr:col>17</xdr:col>
      <xdr:colOff>349250</xdr:colOff>
      <xdr:row>62</xdr:row>
      <xdr:rowOff>66675</xdr:rowOff>
    </xdr:to>
    <xdr:sp macro="" textlink="$E$51">
      <xdr:nvSpPr>
        <xdr:cNvPr id="1201" name="6.2"/>
        <xdr:cNvSpPr/>
      </xdr:nvSpPr>
      <xdr:spPr bwMode="auto">
        <a:xfrm>
          <a:off x="9740900" y="209931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7D3E824D-353C-4AF9-A630-FC5744EC7FF3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Iona Costley-White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15</xdr:col>
      <xdr:colOff>133350</xdr:colOff>
      <xdr:row>56</xdr:row>
      <xdr:rowOff>98425</xdr:rowOff>
    </xdr:from>
    <xdr:to>
      <xdr:col>16</xdr:col>
      <xdr:colOff>514350</xdr:colOff>
      <xdr:row>58</xdr:row>
      <xdr:rowOff>269875</xdr:rowOff>
    </xdr:to>
    <xdr:sp macro="" textlink="$E$52">
      <xdr:nvSpPr>
        <xdr:cNvPr id="1202" name="6.3"/>
        <xdr:cNvSpPr/>
      </xdr:nvSpPr>
      <xdr:spPr bwMode="auto">
        <a:xfrm>
          <a:off x="9296400" y="19939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2140E5C1-938A-4F5C-A087-6CA3FB46F3C5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John Cleary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13</xdr:col>
      <xdr:colOff>298450</xdr:colOff>
      <xdr:row>54</xdr:row>
      <xdr:rowOff>295275</xdr:rowOff>
    </xdr:from>
    <xdr:to>
      <xdr:col>15</xdr:col>
      <xdr:colOff>69850</xdr:colOff>
      <xdr:row>57</xdr:row>
      <xdr:rowOff>152400</xdr:rowOff>
    </xdr:to>
    <xdr:sp macro="" textlink="$E$53">
      <xdr:nvSpPr>
        <xdr:cNvPr id="1203" name="6.4"/>
        <xdr:cNvSpPr/>
      </xdr:nvSpPr>
      <xdr:spPr bwMode="auto">
        <a:xfrm>
          <a:off x="8242300" y="195072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A1B6E67A-863F-4240-AFE5-37C56B38A62E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Jill Syms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11</xdr:col>
      <xdr:colOff>463550</xdr:colOff>
      <xdr:row>56</xdr:row>
      <xdr:rowOff>98425</xdr:rowOff>
    </xdr:from>
    <xdr:to>
      <xdr:col>13</xdr:col>
      <xdr:colOff>234950</xdr:colOff>
      <xdr:row>58</xdr:row>
      <xdr:rowOff>269875</xdr:rowOff>
    </xdr:to>
    <xdr:sp macro="" textlink="$E$54">
      <xdr:nvSpPr>
        <xdr:cNvPr id="1294" name="6.5"/>
        <xdr:cNvSpPr/>
      </xdr:nvSpPr>
      <xdr:spPr bwMode="auto">
        <a:xfrm>
          <a:off x="7188200" y="19939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90230174-05CE-40A0-8E26-E1082960D420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Steve Carpenter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11</xdr:col>
      <xdr:colOff>19050</xdr:colOff>
      <xdr:row>59</xdr:row>
      <xdr:rowOff>222250</xdr:rowOff>
    </xdr:from>
    <xdr:to>
      <xdr:col>12</xdr:col>
      <xdr:colOff>400050</xdr:colOff>
      <xdr:row>62</xdr:row>
      <xdr:rowOff>79375</xdr:rowOff>
    </xdr:to>
    <xdr:sp macro="" textlink="$E$55">
      <xdr:nvSpPr>
        <xdr:cNvPr id="1297" name="6.6"/>
        <xdr:cNvSpPr/>
      </xdr:nvSpPr>
      <xdr:spPr bwMode="auto">
        <a:xfrm>
          <a:off x="6743700" y="210058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79BA91E3-E735-43D2-9B51-3EEEF1EBC81D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Sue Carpenter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11</xdr:col>
      <xdr:colOff>463550</xdr:colOff>
      <xdr:row>63</xdr:row>
      <xdr:rowOff>19050</xdr:rowOff>
    </xdr:from>
    <xdr:to>
      <xdr:col>13</xdr:col>
      <xdr:colOff>234950</xdr:colOff>
      <xdr:row>65</xdr:row>
      <xdr:rowOff>190500</xdr:rowOff>
    </xdr:to>
    <xdr:sp macro="" textlink="$E$56">
      <xdr:nvSpPr>
        <xdr:cNvPr id="1298" name="6.7"/>
        <xdr:cNvSpPr/>
      </xdr:nvSpPr>
      <xdr:spPr bwMode="auto">
        <a:xfrm>
          <a:off x="7188200" y="22059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A3584E2B-7D5F-47FD-9783-7E5DD88F3729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Andy Duff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13</xdr:col>
      <xdr:colOff>298450</xdr:colOff>
      <xdr:row>64</xdr:row>
      <xdr:rowOff>149225</xdr:rowOff>
    </xdr:from>
    <xdr:to>
      <xdr:col>15</xdr:col>
      <xdr:colOff>69850</xdr:colOff>
      <xdr:row>67</xdr:row>
      <xdr:rowOff>6350</xdr:rowOff>
    </xdr:to>
    <xdr:sp macro="" textlink="$E$57">
      <xdr:nvSpPr>
        <xdr:cNvPr id="1299" name="6.8"/>
        <xdr:cNvSpPr/>
      </xdr:nvSpPr>
      <xdr:spPr bwMode="auto">
        <a:xfrm>
          <a:off x="8242300" y="225044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D8ACB872-72F3-486F-A557-29A66B193FE7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Zoe  Duff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21</xdr:col>
      <xdr:colOff>44450</xdr:colOff>
      <xdr:row>57</xdr:row>
      <xdr:rowOff>292100</xdr:rowOff>
    </xdr:from>
    <xdr:to>
      <xdr:col>24</xdr:col>
      <xdr:colOff>120650</xdr:colOff>
      <xdr:row>63</xdr:row>
      <xdr:rowOff>311150</xdr:rowOff>
    </xdr:to>
    <xdr:sp macro="" textlink="">
      <xdr:nvSpPr>
        <xdr:cNvPr id="1300" name="TABLE 7"/>
        <xdr:cNvSpPr/>
      </xdr:nvSpPr>
      <xdr:spPr bwMode="auto">
        <a:xfrm>
          <a:off x="12865100" y="20447000"/>
          <a:ext cx="1905000" cy="1905000"/>
        </a:xfrm>
        <a:prstGeom prst="ellipse">
          <a:avLst/>
        </a:prstGeom>
        <a:solidFill>
          <a:srgbClr val="7030A0">
            <a:alpha val="80000"/>
          </a:srgbClr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r>
            <a:rPr lang="en-GB" sz="2000" b="0" i="0" u="none" strike="noStrike">
              <a:solidFill>
                <a:srgbClr val="000000"/>
              </a:solidFill>
              <a:latin typeface="Arial"/>
            </a:rPr>
            <a:t>Chicago</a:t>
          </a:r>
        </a:p>
      </xdr:txBody>
    </xdr:sp>
    <xdr:clientData/>
  </xdr:twoCellAnchor>
  <xdr:twoCellAnchor>
    <xdr:from>
      <xdr:col>23</xdr:col>
      <xdr:colOff>336550</xdr:colOff>
      <xdr:row>63</xdr:row>
      <xdr:rowOff>19050</xdr:rowOff>
    </xdr:from>
    <xdr:to>
      <xdr:col>25</xdr:col>
      <xdr:colOff>107950</xdr:colOff>
      <xdr:row>65</xdr:row>
      <xdr:rowOff>190500</xdr:rowOff>
    </xdr:to>
    <xdr:sp macro="" textlink="$E$58">
      <xdr:nvSpPr>
        <xdr:cNvPr id="1301" name="7.1"/>
        <xdr:cNvSpPr/>
      </xdr:nvSpPr>
      <xdr:spPr bwMode="auto">
        <a:xfrm>
          <a:off x="14376400" y="22059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BFF7709B-ADF8-46AB-8C62-BC38DB910A7E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Graham Austin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24</xdr:col>
      <xdr:colOff>171450</xdr:colOff>
      <xdr:row>59</xdr:row>
      <xdr:rowOff>209550</xdr:rowOff>
    </xdr:from>
    <xdr:to>
      <xdr:col>25</xdr:col>
      <xdr:colOff>552450</xdr:colOff>
      <xdr:row>62</xdr:row>
      <xdr:rowOff>66675</xdr:rowOff>
    </xdr:to>
    <xdr:sp macro="" textlink="$E$59">
      <xdr:nvSpPr>
        <xdr:cNvPr id="1302" name="7.2"/>
        <xdr:cNvSpPr/>
      </xdr:nvSpPr>
      <xdr:spPr bwMode="auto">
        <a:xfrm>
          <a:off x="14820900" y="209931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5A1C5060-D149-4186-931E-0F2F55283564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Helena Austin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23</xdr:col>
      <xdr:colOff>336550</xdr:colOff>
      <xdr:row>56</xdr:row>
      <xdr:rowOff>98425</xdr:rowOff>
    </xdr:from>
    <xdr:to>
      <xdr:col>25</xdr:col>
      <xdr:colOff>107950</xdr:colOff>
      <xdr:row>58</xdr:row>
      <xdr:rowOff>269875</xdr:rowOff>
    </xdr:to>
    <xdr:sp macro="" textlink="$E$60">
      <xdr:nvSpPr>
        <xdr:cNvPr id="1303" name="7.3"/>
        <xdr:cNvSpPr/>
      </xdr:nvSpPr>
      <xdr:spPr bwMode="auto">
        <a:xfrm>
          <a:off x="14376400" y="19939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339F406E-960A-46D0-B8C5-583ADD9DB2B4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Mike Stone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21</xdr:col>
      <xdr:colOff>501650</xdr:colOff>
      <xdr:row>54</xdr:row>
      <xdr:rowOff>295275</xdr:rowOff>
    </xdr:from>
    <xdr:to>
      <xdr:col>23</xdr:col>
      <xdr:colOff>273050</xdr:colOff>
      <xdr:row>57</xdr:row>
      <xdr:rowOff>152400</xdr:rowOff>
    </xdr:to>
    <xdr:sp macro="" textlink="$E$61">
      <xdr:nvSpPr>
        <xdr:cNvPr id="1304" name="7.4"/>
        <xdr:cNvSpPr/>
      </xdr:nvSpPr>
      <xdr:spPr bwMode="auto">
        <a:xfrm>
          <a:off x="13322300" y="195072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7E155E5A-B10A-434F-92B4-644CF370EF8C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TIna Stone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20</xdr:col>
      <xdr:colOff>57150</xdr:colOff>
      <xdr:row>56</xdr:row>
      <xdr:rowOff>98425</xdr:rowOff>
    </xdr:from>
    <xdr:to>
      <xdr:col>21</xdr:col>
      <xdr:colOff>438150</xdr:colOff>
      <xdr:row>58</xdr:row>
      <xdr:rowOff>269875</xdr:rowOff>
    </xdr:to>
    <xdr:sp macro="" textlink="$E$62">
      <xdr:nvSpPr>
        <xdr:cNvPr id="1305" name="7.5"/>
        <xdr:cNvSpPr/>
      </xdr:nvSpPr>
      <xdr:spPr bwMode="auto">
        <a:xfrm>
          <a:off x="12268200" y="19939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078708ED-F14D-4A8A-AB40-F3324FAC4C1E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June Snowden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19</xdr:col>
      <xdr:colOff>222250</xdr:colOff>
      <xdr:row>59</xdr:row>
      <xdr:rowOff>222250</xdr:rowOff>
    </xdr:from>
    <xdr:to>
      <xdr:col>20</xdr:col>
      <xdr:colOff>603250</xdr:colOff>
      <xdr:row>62</xdr:row>
      <xdr:rowOff>79375</xdr:rowOff>
    </xdr:to>
    <xdr:sp macro="" textlink="$E$63">
      <xdr:nvSpPr>
        <xdr:cNvPr id="1306" name="7.6"/>
        <xdr:cNvSpPr/>
      </xdr:nvSpPr>
      <xdr:spPr bwMode="auto">
        <a:xfrm>
          <a:off x="11823700" y="210058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99AE1773-4DE2-45FB-B5EA-BF5724A2C558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Frank Chambers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20</xdr:col>
      <xdr:colOff>57150</xdr:colOff>
      <xdr:row>63</xdr:row>
      <xdr:rowOff>19050</xdr:rowOff>
    </xdr:from>
    <xdr:to>
      <xdr:col>21</xdr:col>
      <xdr:colOff>438150</xdr:colOff>
      <xdr:row>65</xdr:row>
      <xdr:rowOff>190500</xdr:rowOff>
    </xdr:to>
    <xdr:sp macro="" textlink="$E$64">
      <xdr:nvSpPr>
        <xdr:cNvPr id="1307" name="7.7"/>
        <xdr:cNvSpPr/>
      </xdr:nvSpPr>
      <xdr:spPr bwMode="auto">
        <a:xfrm>
          <a:off x="12268200" y="22059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7650BB9B-D63F-46F0-B3EB-8D335E4E3D3A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Gwyneth Chambers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21</xdr:col>
      <xdr:colOff>501650</xdr:colOff>
      <xdr:row>64</xdr:row>
      <xdr:rowOff>149225</xdr:rowOff>
    </xdr:from>
    <xdr:to>
      <xdr:col>23</xdr:col>
      <xdr:colOff>273050</xdr:colOff>
      <xdr:row>67</xdr:row>
      <xdr:rowOff>6350</xdr:rowOff>
    </xdr:to>
    <xdr:sp macro="" textlink="$E$65">
      <xdr:nvSpPr>
        <xdr:cNvPr id="1308" name="7.8"/>
        <xdr:cNvSpPr/>
      </xdr:nvSpPr>
      <xdr:spPr bwMode="auto">
        <a:xfrm>
          <a:off x="13322300" y="225044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5FCC18BD-E55A-40E4-99F9-92A5E8B236FB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Chris Heard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8</xdr:col>
      <xdr:colOff>349250</xdr:colOff>
      <xdr:row>73</xdr:row>
      <xdr:rowOff>88900</xdr:rowOff>
    </xdr:from>
    <xdr:to>
      <xdr:col>11</xdr:col>
      <xdr:colOff>425450</xdr:colOff>
      <xdr:row>79</xdr:row>
      <xdr:rowOff>107950</xdr:rowOff>
    </xdr:to>
    <xdr:sp macro="" textlink="">
      <xdr:nvSpPr>
        <xdr:cNvPr id="1309" name="TABLE 8"/>
        <xdr:cNvSpPr/>
      </xdr:nvSpPr>
      <xdr:spPr bwMode="auto">
        <a:xfrm>
          <a:off x="5245100" y="25273000"/>
          <a:ext cx="1905000" cy="1905000"/>
        </a:xfrm>
        <a:prstGeom prst="ellipse">
          <a:avLst/>
        </a:prstGeom>
        <a:solidFill>
          <a:srgbClr val="FCD5B4">
            <a:alpha val="80000"/>
          </a:srgbClr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r>
            <a:rPr lang="en-GB" sz="2000" b="0" i="0" u="none" strike="noStrike">
              <a:solidFill>
                <a:srgbClr val="000000"/>
              </a:solidFill>
              <a:latin typeface="Arial"/>
            </a:rPr>
            <a:t>Detroit Spinners</a:t>
          </a:r>
        </a:p>
      </xdr:txBody>
    </xdr:sp>
    <xdr:clientData/>
  </xdr:twoCellAnchor>
  <xdr:twoCellAnchor>
    <xdr:from>
      <xdr:col>11</xdr:col>
      <xdr:colOff>31750</xdr:colOff>
      <xdr:row>78</xdr:row>
      <xdr:rowOff>130175</xdr:rowOff>
    </xdr:from>
    <xdr:to>
      <xdr:col>12</xdr:col>
      <xdr:colOff>412750</xdr:colOff>
      <xdr:row>80</xdr:row>
      <xdr:rowOff>301625</xdr:rowOff>
    </xdr:to>
    <xdr:sp macro="" textlink="$E$66">
      <xdr:nvSpPr>
        <xdr:cNvPr id="1310" name="8.1"/>
        <xdr:cNvSpPr/>
      </xdr:nvSpPr>
      <xdr:spPr bwMode="auto">
        <a:xfrm>
          <a:off x="6756400" y="26885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215AEE75-C01E-4AC0-8CBB-7A9774C6D69F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Bethany Broomfield-Jones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11</xdr:col>
      <xdr:colOff>476250</xdr:colOff>
      <xdr:row>75</xdr:row>
      <xdr:rowOff>6350</xdr:rowOff>
    </xdr:from>
    <xdr:to>
      <xdr:col>13</xdr:col>
      <xdr:colOff>247650</xdr:colOff>
      <xdr:row>77</xdr:row>
      <xdr:rowOff>177800</xdr:rowOff>
    </xdr:to>
    <xdr:sp macro="" textlink="$E$67">
      <xdr:nvSpPr>
        <xdr:cNvPr id="1311" name="8.2"/>
        <xdr:cNvSpPr/>
      </xdr:nvSpPr>
      <xdr:spPr bwMode="auto">
        <a:xfrm>
          <a:off x="7200900" y="258191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5D9EB6B1-57BF-4031-B626-930EDD9A78B6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Louise Broomfield-Jones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11</xdr:col>
      <xdr:colOff>31750</xdr:colOff>
      <xdr:row>71</xdr:row>
      <xdr:rowOff>209550</xdr:rowOff>
    </xdr:from>
    <xdr:to>
      <xdr:col>12</xdr:col>
      <xdr:colOff>412750</xdr:colOff>
      <xdr:row>74</xdr:row>
      <xdr:rowOff>66675</xdr:rowOff>
    </xdr:to>
    <xdr:sp macro="" textlink="$E$68">
      <xdr:nvSpPr>
        <xdr:cNvPr id="1312" name="8.3"/>
        <xdr:cNvSpPr/>
      </xdr:nvSpPr>
      <xdr:spPr bwMode="auto">
        <a:xfrm>
          <a:off x="6756400" y="24765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5835FD60-522A-477E-8889-B8432324C0EA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Richard Jones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9</xdr:col>
      <xdr:colOff>196850</xdr:colOff>
      <xdr:row>70</xdr:row>
      <xdr:rowOff>92075</xdr:rowOff>
    </xdr:from>
    <xdr:to>
      <xdr:col>10</xdr:col>
      <xdr:colOff>577850</xdr:colOff>
      <xdr:row>72</xdr:row>
      <xdr:rowOff>263525</xdr:rowOff>
    </xdr:to>
    <xdr:sp macro="" textlink="$E$69">
      <xdr:nvSpPr>
        <xdr:cNvPr id="1313" name="8.4"/>
        <xdr:cNvSpPr/>
      </xdr:nvSpPr>
      <xdr:spPr bwMode="auto">
        <a:xfrm>
          <a:off x="5702300" y="243332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789F9FC3-54CF-4A2C-AC7A-0A52803D70D7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Zoe  Stanton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7</xdr:col>
      <xdr:colOff>361950</xdr:colOff>
      <xdr:row>71</xdr:row>
      <xdr:rowOff>209550</xdr:rowOff>
    </xdr:from>
    <xdr:to>
      <xdr:col>9</xdr:col>
      <xdr:colOff>133350</xdr:colOff>
      <xdr:row>74</xdr:row>
      <xdr:rowOff>66675</xdr:rowOff>
    </xdr:to>
    <xdr:sp macro="" textlink="$E$70">
      <xdr:nvSpPr>
        <xdr:cNvPr id="1314" name="8.5"/>
        <xdr:cNvSpPr/>
      </xdr:nvSpPr>
      <xdr:spPr bwMode="auto">
        <a:xfrm>
          <a:off x="4648200" y="24765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CF0614B9-C66C-45DD-8F55-78E14385E1DC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Max Davis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6</xdr:col>
      <xdr:colOff>527050</xdr:colOff>
      <xdr:row>75</xdr:row>
      <xdr:rowOff>19050</xdr:rowOff>
    </xdr:from>
    <xdr:to>
      <xdr:col>8</xdr:col>
      <xdr:colOff>298450</xdr:colOff>
      <xdr:row>77</xdr:row>
      <xdr:rowOff>190500</xdr:rowOff>
    </xdr:to>
    <xdr:sp macro="" textlink="$E$71">
      <xdr:nvSpPr>
        <xdr:cNvPr id="1315" name="8.6"/>
        <xdr:cNvSpPr/>
      </xdr:nvSpPr>
      <xdr:spPr bwMode="auto">
        <a:xfrm>
          <a:off x="4203700" y="258318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98B2620F-D033-4FC7-A1F5-9F09A32FB721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Maria Stanton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7</xdr:col>
      <xdr:colOff>361950</xdr:colOff>
      <xdr:row>78</xdr:row>
      <xdr:rowOff>130175</xdr:rowOff>
    </xdr:from>
    <xdr:to>
      <xdr:col>9</xdr:col>
      <xdr:colOff>133350</xdr:colOff>
      <xdr:row>80</xdr:row>
      <xdr:rowOff>301625</xdr:rowOff>
    </xdr:to>
    <xdr:sp macro="" textlink="$E$72">
      <xdr:nvSpPr>
        <xdr:cNvPr id="1316" name="8.7"/>
        <xdr:cNvSpPr/>
      </xdr:nvSpPr>
      <xdr:spPr bwMode="auto">
        <a:xfrm>
          <a:off x="4648200" y="26885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704AC148-72C6-464D-81C5-ACD5B84C70FC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Carol Stanton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9</xdr:col>
      <xdr:colOff>196850</xdr:colOff>
      <xdr:row>79</xdr:row>
      <xdr:rowOff>260350</xdr:rowOff>
    </xdr:from>
    <xdr:to>
      <xdr:col>10</xdr:col>
      <xdr:colOff>577850</xdr:colOff>
      <xdr:row>82</xdr:row>
      <xdr:rowOff>117475</xdr:rowOff>
    </xdr:to>
    <xdr:sp macro="" textlink="$E$73">
      <xdr:nvSpPr>
        <xdr:cNvPr id="1317" name="8.8"/>
        <xdr:cNvSpPr/>
      </xdr:nvSpPr>
      <xdr:spPr bwMode="auto">
        <a:xfrm>
          <a:off x="5702300" y="273304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70E75948-91EF-464C-B7E3-9063380FA00E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Paul Stanton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16</xdr:col>
      <xdr:colOff>552450</xdr:colOff>
      <xdr:row>73</xdr:row>
      <xdr:rowOff>88900</xdr:rowOff>
    </xdr:from>
    <xdr:to>
      <xdr:col>20</xdr:col>
      <xdr:colOff>19050</xdr:colOff>
      <xdr:row>79</xdr:row>
      <xdr:rowOff>107950</xdr:rowOff>
    </xdr:to>
    <xdr:sp macro="" textlink="">
      <xdr:nvSpPr>
        <xdr:cNvPr id="1318" name="TABLE 9"/>
        <xdr:cNvSpPr/>
      </xdr:nvSpPr>
      <xdr:spPr bwMode="auto">
        <a:xfrm>
          <a:off x="10325100" y="25273000"/>
          <a:ext cx="1905000" cy="1905000"/>
        </a:xfrm>
        <a:prstGeom prst="ellipse">
          <a:avLst/>
        </a:prstGeom>
        <a:solidFill>
          <a:srgbClr val="E4DFEC">
            <a:alpha val="80000"/>
          </a:srgbClr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r>
            <a:rPr lang="en-GB" sz="2000" b="0" i="0" u="none" strike="noStrike">
              <a:solidFill>
                <a:srgbClr val="000000"/>
              </a:solidFill>
              <a:latin typeface="Arial"/>
            </a:rPr>
            <a:t>Tavares</a:t>
          </a:r>
        </a:p>
      </xdr:txBody>
    </xdr:sp>
    <xdr:clientData/>
  </xdr:twoCellAnchor>
  <xdr:twoCellAnchor>
    <xdr:from>
      <xdr:col>19</xdr:col>
      <xdr:colOff>234950</xdr:colOff>
      <xdr:row>78</xdr:row>
      <xdr:rowOff>130175</xdr:rowOff>
    </xdr:from>
    <xdr:to>
      <xdr:col>21</xdr:col>
      <xdr:colOff>6350</xdr:colOff>
      <xdr:row>80</xdr:row>
      <xdr:rowOff>301625</xdr:rowOff>
    </xdr:to>
    <xdr:sp macro="" textlink="$E$74">
      <xdr:nvSpPr>
        <xdr:cNvPr id="1319" name="9.1"/>
        <xdr:cNvSpPr/>
      </xdr:nvSpPr>
      <xdr:spPr bwMode="auto">
        <a:xfrm>
          <a:off x="11836400" y="26885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3C43DB51-5DD3-4F61-8A60-A8A682A3C88D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David McWilliam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20</xdr:col>
      <xdr:colOff>69850</xdr:colOff>
      <xdr:row>75</xdr:row>
      <xdr:rowOff>6350</xdr:rowOff>
    </xdr:from>
    <xdr:to>
      <xdr:col>21</xdr:col>
      <xdr:colOff>450850</xdr:colOff>
      <xdr:row>77</xdr:row>
      <xdr:rowOff>177800</xdr:rowOff>
    </xdr:to>
    <xdr:sp macro="" textlink="$E$75">
      <xdr:nvSpPr>
        <xdr:cNvPr id="1320" name="9.2"/>
        <xdr:cNvSpPr/>
      </xdr:nvSpPr>
      <xdr:spPr bwMode="auto">
        <a:xfrm>
          <a:off x="12280900" y="258191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F034D43B-0898-4ABC-A4F7-5CCBEDE6F229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Ann-Marie Doody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19</xdr:col>
      <xdr:colOff>234950</xdr:colOff>
      <xdr:row>71</xdr:row>
      <xdr:rowOff>209550</xdr:rowOff>
    </xdr:from>
    <xdr:to>
      <xdr:col>21</xdr:col>
      <xdr:colOff>6350</xdr:colOff>
      <xdr:row>74</xdr:row>
      <xdr:rowOff>66675</xdr:rowOff>
    </xdr:to>
    <xdr:sp macro="" textlink="$E$76">
      <xdr:nvSpPr>
        <xdr:cNvPr id="1321" name="9.3"/>
        <xdr:cNvSpPr/>
      </xdr:nvSpPr>
      <xdr:spPr bwMode="auto">
        <a:xfrm>
          <a:off x="11836400" y="24765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560C99F2-82F0-4982-A085-9024C4BEA591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Tim Lloyd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17</xdr:col>
      <xdr:colOff>400050</xdr:colOff>
      <xdr:row>70</xdr:row>
      <xdr:rowOff>92075</xdr:rowOff>
    </xdr:from>
    <xdr:to>
      <xdr:col>19</xdr:col>
      <xdr:colOff>171450</xdr:colOff>
      <xdr:row>72</xdr:row>
      <xdr:rowOff>263525</xdr:rowOff>
    </xdr:to>
    <xdr:sp macro="" textlink="$E$77">
      <xdr:nvSpPr>
        <xdr:cNvPr id="1322" name="9.4"/>
        <xdr:cNvSpPr/>
      </xdr:nvSpPr>
      <xdr:spPr bwMode="auto">
        <a:xfrm>
          <a:off x="10782300" y="243332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BF57FE3B-5CE3-46AA-8FF1-D8115F7DD2F3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 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15</xdr:col>
      <xdr:colOff>565150</xdr:colOff>
      <xdr:row>71</xdr:row>
      <xdr:rowOff>209550</xdr:rowOff>
    </xdr:from>
    <xdr:to>
      <xdr:col>17</xdr:col>
      <xdr:colOff>336550</xdr:colOff>
      <xdr:row>74</xdr:row>
      <xdr:rowOff>66675</xdr:rowOff>
    </xdr:to>
    <xdr:sp macro="" textlink="$E$78">
      <xdr:nvSpPr>
        <xdr:cNvPr id="1323" name="9.5"/>
        <xdr:cNvSpPr/>
      </xdr:nvSpPr>
      <xdr:spPr bwMode="auto">
        <a:xfrm>
          <a:off x="9728200" y="24765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B91BAD43-6A68-434C-9796-7276FDFE1399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Mike Grubb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15</xdr:col>
      <xdr:colOff>120650</xdr:colOff>
      <xdr:row>75</xdr:row>
      <xdr:rowOff>19050</xdr:rowOff>
    </xdr:from>
    <xdr:to>
      <xdr:col>16</xdr:col>
      <xdr:colOff>501650</xdr:colOff>
      <xdr:row>77</xdr:row>
      <xdr:rowOff>190500</xdr:rowOff>
    </xdr:to>
    <xdr:sp macro="" textlink="$E$79">
      <xdr:nvSpPr>
        <xdr:cNvPr id="1324" name="9.6"/>
        <xdr:cNvSpPr/>
      </xdr:nvSpPr>
      <xdr:spPr bwMode="auto">
        <a:xfrm>
          <a:off x="9283700" y="258318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F08BC89A-B11E-49D2-9002-B007305BE387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Nerina Walton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15</xdr:col>
      <xdr:colOff>565150</xdr:colOff>
      <xdr:row>78</xdr:row>
      <xdr:rowOff>130175</xdr:rowOff>
    </xdr:from>
    <xdr:to>
      <xdr:col>17</xdr:col>
      <xdr:colOff>336550</xdr:colOff>
      <xdr:row>80</xdr:row>
      <xdr:rowOff>301625</xdr:rowOff>
    </xdr:to>
    <xdr:sp macro="" textlink="$E$80">
      <xdr:nvSpPr>
        <xdr:cNvPr id="1325" name="9.7"/>
        <xdr:cNvSpPr/>
      </xdr:nvSpPr>
      <xdr:spPr bwMode="auto">
        <a:xfrm>
          <a:off x="9728200" y="26885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3B6C1842-3C40-4F91-B2C4-7DDD27A8BBCD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Jim Hazell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17</xdr:col>
      <xdr:colOff>400050</xdr:colOff>
      <xdr:row>79</xdr:row>
      <xdr:rowOff>260350</xdr:rowOff>
    </xdr:from>
    <xdr:to>
      <xdr:col>19</xdr:col>
      <xdr:colOff>171450</xdr:colOff>
      <xdr:row>82</xdr:row>
      <xdr:rowOff>117475</xdr:rowOff>
    </xdr:to>
    <xdr:sp macro="" textlink="$E$81">
      <xdr:nvSpPr>
        <xdr:cNvPr id="1326" name="9.8"/>
        <xdr:cNvSpPr/>
      </xdr:nvSpPr>
      <xdr:spPr bwMode="auto">
        <a:xfrm>
          <a:off x="10782300" y="273304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5F6D827E-1C10-4E05-BD72-E62AE3B4B635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Louise Walton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25</xdr:col>
      <xdr:colOff>146050</xdr:colOff>
      <xdr:row>73</xdr:row>
      <xdr:rowOff>88900</xdr:rowOff>
    </xdr:from>
    <xdr:to>
      <xdr:col>28</xdr:col>
      <xdr:colOff>222250</xdr:colOff>
      <xdr:row>79</xdr:row>
      <xdr:rowOff>107950</xdr:rowOff>
    </xdr:to>
    <xdr:sp macro="" textlink="">
      <xdr:nvSpPr>
        <xdr:cNvPr id="1327" name="TABLE 10"/>
        <xdr:cNvSpPr/>
      </xdr:nvSpPr>
      <xdr:spPr bwMode="auto">
        <a:xfrm>
          <a:off x="15405100" y="25273000"/>
          <a:ext cx="1905000" cy="1905000"/>
        </a:xfrm>
        <a:prstGeom prst="ellipse">
          <a:avLst/>
        </a:prstGeom>
        <a:solidFill>
          <a:srgbClr val="C5D9F1">
            <a:alpha val="80000"/>
          </a:srgbClr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r>
            <a:rPr lang="en-GB" sz="2000" b="0" i="0" u="none" strike="noStrike">
              <a:solidFill>
                <a:srgbClr val="000000"/>
              </a:solidFill>
              <a:latin typeface="Arial"/>
            </a:rPr>
            <a:t>Manfred Mann</a:t>
          </a:r>
        </a:p>
      </xdr:txBody>
    </xdr:sp>
    <xdr:clientData/>
  </xdr:twoCellAnchor>
  <xdr:twoCellAnchor>
    <xdr:from>
      <xdr:col>27</xdr:col>
      <xdr:colOff>438150</xdr:colOff>
      <xdr:row>78</xdr:row>
      <xdr:rowOff>130175</xdr:rowOff>
    </xdr:from>
    <xdr:to>
      <xdr:col>29</xdr:col>
      <xdr:colOff>209550</xdr:colOff>
      <xdr:row>80</xdr:row>
      <xdr:rowOff>301625</xdr:rowOff>
    </xdr:to>
    <xdr:sp macro="" textlink="$E$82">
      <xdr:nvSpPr>
        <xdr:cNvPr id="1328" name="10.1"/>
        <xdr:cNvSpPr/>
      </xdr:nvSpPr>
      <xdr:spPr bwMode="auto">
        <a:xfrm>
          <a:off x="16916400" y="26885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E1E07199-9D30-4EE3-BE00-30AE00072B73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Bill Russell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28</xdr:col>
      <xdr:colOff>273050</xdr:colOff>
      <xdr:row>75</xdr:row>
      <xdr:rowOff>6350</xdr:rowOff>
    </xdr:from>
    <xdr:to>
      <xdr:col>30</xdr:col>
      <xdr:colOff>44450</xdr:colOff>
      <xdr:row>77</xdr:row>
      <xdr:rowOff>177800</xdr:rowOff>
    </xdr:to>
    <xdr:sp macro="" textlink="$E$83">
      <xdr:nvSpPr>
        <xdr:cNvPr id="1329" name="10.2"/>
        <xdr:cNvSpPr/>
      </xdr:nvSpPr>
      <xdr:spPr bwMode="auto">
        <a:xfrm>
          <a:off x="17360900" y="258191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6D386820-FFA3-47D4-8E16-BD69DB723377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Chris Airey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27</xdr:col>
      <xdr:colOff>438150</xdr:colOff>
      <xdr:row>71</xdr:row>
      <xdr:rowOff>209550</xdr:rowOff>
    </xdr:from>
    <xdr:to>
      <xdr:col>29</xdr:col>
      <xdr:colOff>209550</xdr:colOff>
      <xdr:row>74</xdr:row>
      <xdr:rowOff>66675</xdr:rowOff>
    </xdr:to>
    <xdr:sp macro="" textlink="$E$84">
      <xdr:nvSpPr>
        <xdr:cNvPr id="1330" name="10.3"/>
        <xdr:cNvSpPr/>
      </xdr:nvSpPr>
      <xdr:spPr bwMode="auto">
        <a:xfrm>
          <a:off x="16916400" y="24765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CA0791F4-186B-4609-8F29-FA9333B20439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Bob Fisher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25</xdr:col>
      <xdr:colOff>603250</xdr:colOff>
      <xdr:row>70</xdr:row>
      <xdr:rowOff>92075</xdr:rowOff>
    </xdr:from>
    <xdr:to>
      <xdr:col>27</xdr:col>
      <xdr:colOff>374650</xdr:colOff>
      <xdr:row>72</xdr:row>
      <xdr:rowOff>263525</xdr:rowOff>
    </xdr:to>
    <xdr:sp macro="" textlink="$E$85">
      <xdr:nvSpPr>
        <xdr:cNvPr id="1331" name="10.4"/>
        <xdr:cNvSpPr/>
      </xdr:nvSpPr>
      <xdr:spPr bwMode="auto">
        <a:xfrm>
          <a:off x="15862300" y="243332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9F2C78D0-C2BC-478A-9DD5-F7C1F2D0811C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Sarah Steeden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24</xdr:col>
      <xdr:colOff>158750</xdr:colOff>
      <xdr:row>71</xdr:row>
      <xdr:rowOff>209550</xdr:rowOff>
    </xdr:from>
    <xdr:to>
      <xdr:col>25</xdr:col>
      <xdr:colOff>539750</xdr:colOff>
      <xdr:row>74</xdr:row>
      <xdr:rowOff>66675</xdr:rowOff>
    </xdr:to>
    <xdr:sp macro="" textlink="$E$86">
      <xdr:nvSpPr>
        <xdr:cNvPr id="1332" name="10.5"/>
        <xdr:cNvSpPr/>
      </xdr:nvSpPr>
      <xdr:spPr bwMode="auto">
        <a:xfrm>
          <a:off x="14808200" y="247650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408F9239-71A9-41AD-966F-4BBC2DC112B9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Lorna Cooke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23</xdr:col>
      <xdr:colOff>323850</xdr:colOff>
      <xdr:row>75</xdr:row>
      <xdr:rowOff>19050</xdr:rowOff>
    </xdr:from>
    <xdr:to>
      <xdr:col>25</xdr:col>
      <xdr:colOff>95250</xdr:colOff>
      <xdr:row>77</xdr:row>
      <xdr:rowOff>190500</xdr:rowOff>
    </xdr:to>
    <xdr:sp macro="" textlink="$E$87">
      <xdr:nvSpPr>
        <xdr:cNvPr id="1333" name="10.6"/>
        <xdr:cNvSpPr/>
      </xdr:nvSpPr>
      <xdr:spPr bwMode="auto">
        <a:xfrm>
          <a:off x="14363700" y="258318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A5855C07-E330-486F-A24D-649D7852162D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Kieran Cooke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24</xdr:col>
      <xdr:colOff>158750</xdr:colOff>
      <xdr:row>78</xdr:row>
      <xdr:rowOff>130175</xdr:rowOff>
    </xdr:from>
    <xdr:to>
      <xdr:col>25</xdr:col>
      <xdr:colOff>539750</xdr:colOff>
      <xdr:row>80</xdr:row>
      <xdr:rowOff>301625</xdr:rowOff>
    </xdr:to>
    <xdr:sp macro="" textlink="$E$88">
      <xdr:nvSpPr>
        <xdr:cNvPr id="1334" name="10.7"/>
        <xdr:cNvSpPr/>
      </xdr:nvSpPr>
      <xdr:spPr bwMode="auto">
        <a:xfrm>
          <a:off x="14808200" y="268859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3DFE7169-4ACD-4F17-A42A-1D8AB7610856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Ollie Burton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25</xdr:col>
      <xdr:colOff>603250</xdr:colOff>
      <xdr:row>79</xdr:row>
      <xdr:rowOff>260350</xdr:rowOff>
    </xdr:from>
    <xdr:to>
      <xdr:col>27</xdr:col>
      <xdr:colOff>374650</xdr:colOff>
      <xdr:row>82</xdr:row>
      <xdr:rowOff>117475</xdr:rowOff>
    </xdr:to>
    <xdr:sp macro="" textlink="$E$89">
      <xdr:nvSpPr>
        <xdr:cNvPr id="1335" name="10.8"/>
        <xdr:cNvSpPr/>
      </xdr:nvSpPr>
      <xdr:spPr bwMode="auto">
        <a:xfrm>
          <a:off x="15862300" y="27330400"/>
          <a:ext cx="990600" cy="8001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lIns="6350" tIns="6350" rIns="6350" bIns="6350" rtlCol="0" anchor="ctr"/>
        <a:lstStyle/>
        <a:p>
          <a:pPr algn="ctr"/>
          <a:fld id="{9AA27F28-AB15-4B02-8954-07200D91F8D1}" type="TxLink">
            <a:rPr lang="en-US" sz="1200" b="1" i="0" u="none" strike="noStrike">
              <a:solidFill>
                <a:srgbClr val="000000"/>
              </a:solidFill>
              <a:latin typeface="Arial Narrow"/>
            </a:rPr>
            <a:t>Jen Caldwell</a:t>
          </a:fld>
          <a:endParaRPr lang="en-GB" sz="1200" b="1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0</xdr:col>
      <xdr:colOff>381000</xdr:colOff>
      <xdr:row>1</xdr:row>
      <xdr:rowOff>53975</xdr:rowOff>
    </xdr:from>
    <xdr:to>
      <xdr:col>31</xdr:col>
      <xdr:colOff>514350</xdr:colOff>
      <xdr:row>90</xdr:row>
      <xdr:rowOff>193675</xdr:rowOff>
    </xdr:to>
    <xdr:sp macro="" textlink="">
      <xdr:nvSpPr>
        <xdr:cNvPr id="1336" name="RFP_border"/>
        <xdr:cNvSpPr/>
      </xdr:nvSpPr>
      <xdr:spPr bwMode="auto">
        <a:xfrm>
          <a:off x="381000" y="254000"/>
          <a:ext cx="19050000" cy="30353000"/>
        </a:xfrm>
        <a:prstGeom prst="roundRect">
          <a:avLst>
            <a:gd name="adj" fmla="val 3333"/>
          </a:avLst>
        </a:prstGeom>
        <a:noFill/>
        <a:ln w="1905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 editAs="oneCell">
    <xdr:from>
      <xdr:col>6</xdr:col>
      <xdr:colOff>133350</xdr:colOff>
      <xdr:row>1</xdr:row>
      <xdr:rowOff>53975</xdr:rowOff>
    </xdr:from>
    <xdr:to>
      <xdr:col>22</xdr:col>
      <xdr:colOff>438150</xdr:colOff>
      <xdr:row>11</xdr:row>
      <xdr:rowOff>90169</xdr:rowOff>
    </xdr:to>
    <xdr:pic>
      <xdr:nvPicPr>
        <xdr:cNvPr id="1337" name="RFPLogo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10000" y="254000"/>
          <a:ext cx="10058400" cy="5532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9</xdr:row>
      <xdr:rowOff>104775</xdr:rowOff>
    </xdr:from>
    <xdr:to>
      <xdr:col>14</xdr:col>
      <xdr:colOff>38100</xdr:colOff>
      <xdr:row>19</xdr:row>
      <xdr:rowOff>9525</xdr:rowOff>
    </xdr:to>
    <xdr:sp macro="" textlink="">
      <xdr:nvSpPr>
        <xdr:cNvPr id="2" name="Oval 1"/>
        <xdr:cNvSpPr/>
      </xdr:nvSpPr>
      <xdr:spPr bwMode="auto">
        <a:xfrm>
          <a:off x="6667500" y="1905000"/>
          <a:ext cx="1905000" cy="1905000"/>
        </a:xfrm>
        <a:prstGeom prst="ellipse">
          <a:avLst/>
        </a:prstGeom>
        <a:solidFill>
          <a:srgbClr val="FFCC99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13</xdr:col>
      <xdr:colOff>302028</xdr:colOff>
      <xdr:row>17</xdr:row>
      <xdr:rowOff>127403</xdr:rowOff>
    </xdr:from>
    <xdr:to>
      <xdr:col>14</xdr:col>
      <xdr:colOff>454428</xdr:colOff>
      <xdr:row>20</xdr:row>
      <xdr:rowOff>162328</xdr:rowOff>
    </xdr:to>
    <xdr:sp macro="" textlink="">
      <xdr:nvSpPr>
        <xdr:cNvPr id="3" name="Oval 2"/>
        <xdr:cNvSpPr/>
      </xdr:nvSpPr>
      <xdr:spPr bwMode="auto">
        <a:xfrm>
          <a:off x="8226828" y="3527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14</xdr:col>
      <xdr:colOff>101600</xdr:colOff>
      <xdr:row>12</xdr:row>
      <xdr:rowOff>139700</xdr:rowOff>
    </xdr:from>
    <xdr:to>
      <xdr:col>15</xdr:col>
      <xdr:colOff>254000</xdr:colOff>
      <xdr:row>15</xdr:row>
      <xdr:rowOff>174625</xdr:rowOff>
    </xdr:to>
    <xdr:sp macro="" textlink="">
      <xdr:nvSpPr>
        <xdr:cNvPr id="4" name="Oval 3"/>
        <xdr:cNvSpPr/>
      </xdr:nvSpPr>
      <xdr:spPr bwMode="auto">
        <a:xfrm>
          <a:off x="8636000" y="2540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13</xdr:col>
      <xdr:colOff>302028</xdr:colOff>
      <xdr:row>7</xdr:row>
      <xdr:rowOff>151997</xdr:rowOff>
    </xdr:from>
    <xdr:to>
      <xdr:col>14</xdr:col>
      <xdr:colOff>454428</xdr:colOff>
      <xdr:row>10</xdr:row>
      <xdr:rowOff>186922</xdr:rowOff>
    </xdr:to>
    <xdr:sp macro="" textlink="">
      <xdr:nvSpPr>
        <xdr:cNvPr id="5" name="Oval 4"/>
        <xdr:cNvSpPr/>
      </xdr:nvSpPr>
      <xdr:spPr bwMode="auto">
        <a:xfrm>
          <a:off x="8226828" y="1552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11</xdr:col>
      <xdr:colOff>533400</xdr:colOff>
      <xdr:row>5</xdr:row>
      <xdr:rowOff>142875</xdr:rowOff>
    </xdr:from>
    <xdr:to>
      <xdr:col>13</xdr:col>
      <xdr:colOff>76200</xdr:colOff>
      <xdr:row>8</xdr:row>
      <xdr:rowOff>177800</xdr:rowOff>
    </xdr:to>
    <xdr:sp macro="" textlink="">
      <xdr:nvSpPr>
        <xdr:cNvPr id="6" name="Oval 5"/>
        <xdr:cNvSpPr/>
      </xdr:nvSpPr>
      <xdr:spPr bwMode="auto">
        <a:xfrm>
          <a:off x="7239000" y="1143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10</xdr:col>
      <xdr:colOff>155172</xdr:colOff>
      <xdr:row>7</xdr:row>
      <xdr:rowOff>151997</xdr:rowOff>
    </xdr:from>
    <xdr:to>
      <xdr:col>11</xdr:col>
      <xdr:colOff>307572</xdr:colOff>
      <xdr:row>10</xdr:row>
      <xdr:rowOff>186922</xdr:rowOff>
    </xdr:to>
    <xdr:sp macro="" textlink="">
      <xdr:nvSpPr>
        <xdr:cNvPr id="7" name="Oval 6"/>
        <xdr:cNvSpPr/>
      </xdr:nvSpPr>
      <xdr:spPr bwMode="auto">
        <a:xfrm>
          <a:off x="6251172" y="1552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9</xdr:col>
      <xdr:colOff>355600</xdr:colOff>
      <xdr:row>12</xdr:row>
      <xdr:rowOff>139700</xdr:rowOff>
    </xdr:from>
    <xdr:to>
      <xdr:col>10</xdr:col>
      <xdr:colOff>508000</xdr:colOff>
      <xdr:row>15</xdr:row>
      <xdr:rowOff>174625</xdr:rowOff>
    </xdr:to>
    <xdr:sp macro="" textlink="">
      <xdr:nvSpPr>
        <xdr:cNvPr id="8" name="Oval 7"/>
        <xdr:cNvSpPr/>
      </xdr:nvSpPr>
      <xdr:spPr bwMode="auto">
        <a:xfrm>
          <a:off x="5842000" y="2540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10</xdr:col>
      <xdr:colOff>155172</xdr:colOff>
      <xdr:row>17</xdr:row>
      <xdr:rowOff>127403</xdr:rowOff>
    </xdr:from>
    <xdr:to>
      <xdr:col>11</xdr:col>
      <xdr:colOff>307572</xdr:colOff>
      <xdr:row>20</xdr:row>
      <xdr:rowOff>162328</xdr:rowOff>
    </xdr:to>
    <xdr:sp macro="" textlink="">
      <xdr:nvSpPr>
        <xdr:cNvPr id="9" name="Oval 8"/>
        <xdr:cNvSpPr/>
      </xdr:nvSpPr>
      <xdr:spPr bwMode="auto">
        <a:xfrm>
          <a:off x="6251172" y="3527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11</xdr:col>
      <xdr:colOff>533400</xdr:colOff>
      <xdr:row>19</xdr:row>
      <xdr:rowOff>136525</xdr:rowOff>
    </xdr:from>
    <xdr:to>
      <xdr:col>13</xdr:col>
      <xdr:colOff>76200</xdr:colOff>
      <xdr:row>22</xdr:row>
      <xdr:rowOff>171450</xdr:rowOff>
    </xdr:to>
    <xdr:sp macro="" textlink="">
      <xdr:nvSpPr>
        <xdr:cNvPr id="10" name="Oval 9"/>
        <xdr:cNvSpPr/>
      </xdr:nvSpPr>
      <xdr:spPr bwMode="auto">
        <a:xfrm>
          <a:off x="7239000" y="3937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18</xdr:col>
      <xdr:colOff>139700</xdr:colOff>
      <xdr:row>9</xdr:row>
      <xdr:rowOff>104775</xdr:rowOff>
    </xdr:from>
    <xdr:to>
      <xdr:col>21</xdr:col>
      <xdr:colOff>215900</xdr:colOff>
      <xdr:row>19</xdr:row>
      <xdr:rowOff>9525</xdr:rowOff>
    </xdr:to>
    <xdr:sp macro="" textlink="">
      <xdr:nvSpPr>
        <xdr:cNvPr id="11" name="Oval 10"/>
        <xdr:cNvSpPr/>
      </xdr:nvSpPr>
      <xdr:spPr bwMode="auto">
        <a:xfrm>
          <a:off x="11112500" y="1905000"/>
          <a:ext cx="1905000" cy="1905000"/>
        </a:xfrm>
        <a:prstGeom prst="ellipse">
          <a:avLst/>
        </a:prstGeom>
        <a:solidFill>
          <a:srgbClr val="FFCC99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20</xdr:col>
      <xdr:colOff>479828</xdr:colOff>
      <xdr:row>17</xdr:row>
      <xdr:rowOff>127403</xdr:rowOff>
    </xdr:from>
    <xdr:to>
      <xdr:col>22</xdr:col>
      <xdr:colOff>22628</xdr:colOff>
      <xdr:row>20</xdr:row>
      <xdr:rowOff>162328</xdr:rowOff>
    </xdr:to>
    <xdr:sp macro="" textlink="">
      <xdr:nvSpPr>
        <xdr:cNvPr id="12" name="Oval 11"/>
        <xdr:cNvSpPr/>
      </xdr:nvSpPr>
      <xdr:spPr bwMode="auto">
        <a:xfrm>
          <a:off x="12671828" y="3527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21</xdr:col>
      <xdr:colOff>279400</xdr:colOff>
      <xdr:row>12</xdr:row>
      <xdr:rowOff>139700</xdr:rowOff>
    </xdr:from>
    <xdr:to>
      <xdr:col>22</xdr:col>
      <xdr:colOff>431800</xdr:colOff>
      <xdr:row>15</xdr:row>
      <xdr:rowOff>174625</xdr:rowOff>
    </xdr:to>
    <xdr:sp macro="" textlink="">
      <xdr:nvSpPr>
        <xdr:cNvPr id="13" name="Oval 12"/>
        <xdr:cNvSpPr/>
      </xdr:nvSpPr>
      <xdr:spPr bwMode="auto">
        <a:xfrm>
          <a:off x="13081000" y="2540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20</xdr:col>
      <xdr:colOff>479828</xdr:colOff>
      <xdr:row>7</xdr:row>
      <xdr:rowOff>151997</xdr:rowOff>
    </xdr:from>
    <xdr:to>
      <xdr:col>22</xdr:col>
      <xdr:colOff>22628</xdr:colOff>
      <xdr:row>10</xdr:row>
      <xdr:rowOff>186922</xdr:rowOff>
    </xdr:to>
    <xdr:sp macro="" textlink="">
      <xdr:nvSpPr>
        <xdr:cNvPr id="14" name="Oval 13"/>
        <xdr:cNvSpPr/>
      </xdr:nvSpPr>
      <xdr:spPr bwMode="auto">
        <a:xfrm>
          <a:off x="12671828" y="1552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19</xdr:col>
      <xdr:colOff>101600</xdr:colOff>
      <xdr:row>5</xdr:row>
      <xdr:rowOff>142875</xdr:rowOff>
    </xdr:from>
    <xdr:to>
      <xdr:col>20</xdr:col>
      <xdr:colOff>254000</xdr:colOff>
      <xdr:row>8</xdr:row>
      <xdr:rowOff>177800</xdr:rowOff>
    </xdr:to>
    <xdr:sp macro="" textlink="">
      <xdr:nvSpPr>
        <xdr:cNvPr id="15" name="Oval 14"/>
        <xdr:cNvSpPr/>
      </xdr:nvSpPr>
      <xdr:spPr bwMode="auto">
        <a:xfrm>
          <a:off x="11684000" y="1143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17</xdr:col>
      <xdr:colOff>332972</xdr:colOff>
      <xdr:row>7</xdr:row>
      <xdr:rowOff>151997</xdr:rowOff>
    </xdr:from>
    <xdr:to>
      <xdr:col>18</xdr:col>
      <xdr:colOff>485372</xdr:colOff>
      <xdr:row>10</xdr:row>
      <xdr:rowOff>186922</xdr:rowOff>
    </xdr:to>
    <xdr:sp macro="" textlink="">
      <xdr:nvSpPr>
        <xdr:cNvPr id="16" name="Oval 15"/>
        <xdr:cNvSpPr/>
      </xdr:nvSpPr>
      <xdr:spPr bwMode="auto">
        <a:xfrm>
          <a:off x="10696172" y="1552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16</xdr:col>
      <xdr:colOff>533400</xdr:colOff>
      <xdr:row>12</xdr:row>
      <xdr:rowOff>139700</xdr:rowOff>
    </xdr:from>
    <xdr:to>
      <xdr:col>18</xdr:col>
      <xdr:colOff>76200</xdr:colOff>
      <xdr:row>15</xdr:row>
      <xdr:rowOff>174625</xdr:rowOff>
    </xdr:to>
    <xdr:sp macro="" textlink="">
      <xdr:nvSpPr>
        <xdr:cNvPr id="17" name="Oval 16"/>
        <xdr:cNvSpPr/>
      </xdr:nvSpPr>
      <xdr:spPr bwMode="auto">
        <a:xfrm>
          <a:off x="10287000" y="2540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17</xdr:col>
      <xdr:colOff>332972</xdr:colOff>
      <xdr:row>17</xdr:row>
      <xdr:rowOff>127403</xdr:rowOff>
    </xdr:from>
    <xdr:to>
      <xdr:col>18</xdr:col>
      <xdr:colOff>485372</xdr:colOff>
      <xdr:row>20</xdr:row>
      <xdr:rowOff>162328</xdr:rowOff>
    </xdr:to>
    <xdr:sp macro="" textlink="">
      <xdr:nvSpPr>
        <xdr:cNvPr id="18" name="Oval 17"/>
        <xdr:cNvSpPr/>
      </xdr:nvSpPr>
      <xdr:spPr bwMode="auto">
        <a:xfrm>
          <a:off x="10696172" y="3527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19</xdr:col>
      <xdr:colOff>101600</xdr:colOff>
      <xdr:row>19</xdr:row>
      <xdr:rowOff>136525</xdr:rowOff>
    </xdr:from>
    <xdr:to>
      <xdr:col>20</xdr:col>
      <xdr:colOff>254000</xdr:colOff>
      <xdr:row>22</xdr:row>
      <xdr:rowOff>171450</xdr:rowOff>
    </xdr:to>
    <xdr:sp macro="" textlink="">
      <xdr:nvSpPr>
        <xdr:cNvPr id="19" name="Oval 18"/>
        <xdr:cNvSpPr/>
      </xdr:nvSpPr>
      <xdr:spPr bwMode="auto">
        <a:xfrm>
          <a:off x="11684000" y="3937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7</xdr:col>
      <xdr:colOff>177800</xdr:colOff>
      <xdr:row>27</xdr:row>
      <xdr:rowOff>60325</xdr:rowOff>
    </xdr:from>
    <xdr:to>
      <xdr:col>10</xdr:col>
      <xdr:colOff>254000</xdr:colOff>
      <xdr:row>36</xdr:row>
      <xdr:rowOff>165100</xdr:rowOff>
    </xdr:to>
    <xdr:sp macro="" textlink="">
      <xdr:nvSpPr>
        <xdr:cNvPr id="20" name="Oval 19"/>
        <xdr:cNvSpPr/>
      </xdr:nvSpPr>
      <xdr:spPr bwMode="auto">
        <a:xfrm>
          <a:off x="4445000" y="5461000"/>
          <a:ext cx="1905000" cy="1905000"/>
        </a:xfrm>
        <a:prstGeom prst="ellipse">
          <a:avLst/>
        </a:prstGeom>
        <a:solidFill>
          <a:srgbClr val="FFCC99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9</xdr:col>
      <xdr:colOff>517928</xdr:colOff>
      <xdr:row>35</xdr:row>
      <xdr:rowOff>82953</xdr:rowOff>
    </xdr:from>
    <xdr:to>
      <xdr:col>11</xdr:col>
      <xdr:colOff>60728</xdr:colOff>
      <xdr:row>38</xdr:row>
      <xdr:rowOff>117878</xdr:rowOff>
    </xdr:to>
    <xdr:sp macro="" textlink="">
      <xdr:nvSpPr>
        <xdr:cNvPr id="21" name="Oval 20"/>
        <xdr:cNvSpPr/>
      </xdr:nvSpPr>
      <xdr:spPr bwMode="auto">
        <a:xfrm>
          <a:off x="6004328" y="7083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10</xdr:col>
      <xdr:colOff>317500</xdr:colOff>
      <xdr:row>30</xdr:row>
      <xdr:rowOff>95250</xdr:rowOff>
    </xdr:from>
    <xdr:to>
      <xdr:col>11</xdr:col>
      <xdr:colOff>469900</xdr:colOff>
      <xdr:row>33</xdr:row>
      <xdr:rowOff>130175</xdr:rowOff>
    </xdr:to>
    <xdr:sp macro="" textlink="">
      <xdr:nvSpPr>
        <xdr:cNvPr id="22" name="Oval 21"/>
        <xdr:cNvSpPr/>
      </xdr:nvSpPr>
      <xdr:spPr bwMode="auto">
        <a:xfrm>
          <a:off x="6413500" y="6096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9</xdr:col>
      <xdr:colOff>517928</xdr:colOff>
      <xdr:row>25</xdr:row>
      <xdr:rowOff>107547</xdr:rowOff>
    </xdr:from>
    <xdr:to>
      <xdr:col>11</xdr:col>
      <xdr:colOff>60728</xdr:colOff>
      <xdr:row>28</xdr:row>
      <xdr:rowOff>142472</xdr:rowOff>
    </xdr:to>
    <xdr:sp macro="" textlink="">
      <xdr:nvSpPr>
        <xdr:cNvPr id="23" name="Oval 22"/>
        <xdr:cNvSpPr/>
      </xdr:nvSpPr>
      <xdr:spPr bwMode="auto">
        <a:xfrm>
          <a:off x="6004328" y="5108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8</xdr:col>
      <xdr:colOff>139700</xdr:colOff>
      <xdr:row>23</xdr:row>
      <xdr:rowOff>98425</xdr:rowOff>
    </xdr:from>
    <xdr:to>
      <xdr:col>9</xdr:col>
      <xdr:colOff>292100</xdr:colOff>
      <xdr:row>26</xdr:row>
      <xdr:rowOff>133350</xdr:rowOff>
    </xdr:to>
    <xdr:sp macro="" textlink="">
      <xdr:nvSpPr>
        <xdr:cNvPr id="24" name="Oval 23"/>
        <xdr:cNvSpPr/>
      </xdr:nvSpPr>
      <xdr:spPr bwMode="auto">
        <a:xfrm>
          <a:off x="5016500" y="4699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6</xdr:col>
      <xdr:colOff>371072</xdr:colOff>
      <xdr:row>25</xdr:row>
      <xdr:rowOff>107547</xdr:rowOff>
    </xdr:from>
    <xdr:to>
      <xdr:col>7</xdr:col>
      <xdr:colOff>523472</xdr:colOff>
      <xdr:row>28</xdr:row>
      <xdr:rowOff>142472</xdr:rowOff>
    </xdr:to>
    <xdr:sp macro="" textlink="">
      <xdr:nvSpPr>
        <xdr:cNvPr id="25" name="Oval 24"/>
        <xdr:cNvSpPr/>
      </xdr:nvSpPr>
      <xdr:spPr bwMode="auto">
        <a:xfrm>
          <a:off x="4028672" y="5108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5</xdr:col>
      <xdr:colOff>571500</xdr:colOff>
      <xdr:row>30</xdr:row>
      <xdr:rowOff>95250</xdr:rowOff>
    </xdr:from>
    <xdr:to>
      <xdr:col>7</xdr:col>
      <xdr:colOff>114300</xdr:colOff>
      <xdr:row>33</xdr:row>
      <xdr:rowOff>130175</xdr:rowOff>
    </xdr:to>
    <xdr:sp macro="" textlink="">
      <xdr:nvSpPr>
        <xdr:cNvPr id="26" name="Oval 25"/>
        <xdr:cNvSpPr/>
      </xdr:nvSpPr>
      <xdr:spPr bwMode="auto">
        <a:xfrm>
          <a:off x="3619500" y="6096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6</xdr:col>
      <xdr:colOff>371072</xdr:colOff>
      <xdr:row>35</xdr:row>
      <xdr:rowOff>82953</xdr:rowOff>
    </xdr:from>
    <xdr:to>
      <xdr:col>7</xdr:col>
      <xdr:colOff>523472</xdr:colOff>
      <xdr:row>38</xdr:row>
      <xdr:rowOff>117878</xdr:rowOff>
    </xdr:to>
    <xdr:sp macro="" textlink="">
      <xdr:nvSpPr>
        <xdr:cNvPr id="27" name="Oval 26"/>
        <xdr:cNvSpPr/>
      </xdr:nvSpPr>
      <xdr:spPr bwMode="auto">
        <a:xfrm>
          <a:off x="4028672" y="7083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8</xdr:col>
      <xdr:colOff>139700</xdr:colOff>
      <xdr:row>37</xdr:row>
      <xdr:rowOff>92075</xdr:rowOff>
    </xdr:from>
    <xdr:to>
      <xdr:col>9</xdr:col>
      <xdr:colOff>292100</xdr:colOff>
      <xdr:row>40</xdr:row>
      <xdr:rowOff>127000</xdr:rowOff>
    </xdr:to>
    <xdr:sp macro="" textlink="">
      <xdr:nvSpPr>
        <xdr:cNvPr id="28" name="Oval 27"/>
        <xdr:cNvSpPr/>
      </xdr:nvSpPr>
      <xdr:spPr bwMode="auto">
        <a:xfrm>
          <a:off x="5016500" y="7493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14</xdr:col>
      <xdr:colOff>355600</xdr:colOff>
      <xdr:row>27</xdr:row>
      <xdr:rowOff>60325</xdr:rowOff>
    </xdr:from>
    <xdr:to>
      <xdr:col>17</xdr:col>
      <xdr:colOff>431800</xdr:colOff>
      <xdr:row>36</xdr:row>
      <xdr:rowOff>165100</xdr:rowOff>
    </xdr:to>
    <xdr:sp macro="" textlink="">
      <xdr:nvSpPr>
        <xdr:cNvPr id="29" name="Oval 28"/>
        <xdr:cNvSpPr/>
      </xdr:nvSpPr>
      <xdr:spPr bwMode="auto">
        <a:xfrm>
          <a:off x="8890000" y="5461000"/>
          <a:ext cx="1905000" cy="1905000"/>
        </a:xfrm>
        <a:prstGeom prst="ellipse">
          <a:avLst/>
        </a:prstGeom>
        <a:solidFill>
          <a:srgbClr val="FFCC99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17</xdr:col>
      <xdr:colOff>86128</xdr:colOff>
      <xdr:row>35</xdr:row>
      <xdr:rowOff>82953</xdr:rowOff>
    </xdr:from>
    <xdr:to>
      <xdr:col>18</xdr:col>
      <xdr:colOff>238528</xdr:colOff>
      <xdr:row>38</xdr:row>
      <xdr:rowOff>117878</xdr:rowOff>
    </xdr:to>
    <xdr:sp macro="" textlink="">
      <xdr:nvSpPr>
        <xdr:cNvPr id="30" name="Oval 29"/>
        <xdr:cNvSpPr/>
      </xdr:nvSpPr>
      <xdr:spPr bwMode="auto">
        <a:xfrm>
          <a:off x="10449328" y="7083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17</xdr:col>
      <xdr:colOff>495300</xdr:colOff>
      <xdr:row>30</xdr:row>
      <xdr:rowOff>95250</xdr:rowOff>
    </xdr:from>
    <xdr:to>
      <xdr:col>19</xdr:col>
      <xdr:colOff>38100</xdr:colOff>
      <xdr:row>33</xdr:row>
      <xdr:rowOff>130175</xdr:rowOff>
    </xdr:to>
    <xdr:sp macro="" textlink="">
      <xdr:nvSpPr>
        <xdr:cNvPr id="31" name="Oval 30"/>
        <xdr:cNvSpPr/>
      </xdr:nvSpPr>
      <xdr:spPr bwMode="auto">
        <a:xfrm>
          <a:off x="10858500" y="6096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17</xdr:col>
      <xdr:colOff>86128</xdr:colOff>
      <xdr:row>25</xdr:row>
      <xdr:rowOff>107547</xdr:rowOff>
    </xdr:from>
    <xdr:to>
      <xdr:col>18</xdr:col>
      <xdr:colOff>238528</xdr:colOff>
      <xdr:row>28</xdr:row>
      <xdr:rowOff>142472</xdr:rowOff>
    </xdr:to>
    <xdr:sp macro="" textlink="">
      <xdr:nvSpPr>
        <xdr:cNvPr id="1824" name="Oval 1823"/>
        <xdr:cNvSpPr/>
      </xdr:nvSpPr>
      <xdr:spPr bwMode="auto">
        <a:xfrm>
          <a:off x="10449328" y="5108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15</xdr:col>
      <xdr:colOff>317500</xdr:colOff>
      <xdr:row>23</xdr:row>
      <xdr:rowOff>98425</xdr:rowOff>
    </xdr:from>
    <xdr:to>
      <xdr:col>16</xdr:col>
      <xdr:colOff>469900</xdr:colOff>
      <xdr:row>26</xdr:row>
      <xdr:rowOff>133350</xdr:rowOff>
    </xdr:to>
    <xdr:sp macro="" textlink="">
      <xdr:nvSpPr>
        <xdr:cNvPr id="1825" name="Oval 1824"/>
        <xdr:cNvSpPr/>
      </xdr:nvSpPr>
      <xdr:spPr bwMode="auto">
        <a:xfrm>
          <a:off x="9461500" y="4699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13</xdr:col>
      <xdr:colOff>548872</xdr:colOff>
      <xdr:row>25</xdr:row>
      <xdr:rowOff>107547</xdr:rowOff>
    </xdr:from>
    <xdr:to>
      <xdr:col>15</xdr:col>
      <xdr:colOff>91672</xdr:colOff>
      <xdr:row>28</xdr:row>
      <xdr:rowOff>142472</xdr:rowOff>
    </xdr:to>
    <xdr:sp macro="" textlink="">
      <xdr:nvSpPr>
        <xdr:cNvPr id="1826" name="Oval 1825"/>
        <xdr:cNvSpPr/>
      </xdr:nvSpPr>
      <xdr:spPr bwMode="auto">
        <a:xfrm>
          <a:off x="8473672" y="5108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13</xdr:col>
      <xdr:colOff>139700</xdr:colOff>
      <xdr:row>30</xdr:row>
      <xdr:rowOff>95250</xdr:rowOff>
    </xdr:from>
    <xdr:to>
      <xdr:col>14</xdr:col>
      <xdr:colOff>292100</xdr:colOff>
      <xdr:row>33</xdr:row>
      <xdr:rowOff>130175</xdr:rowOff>
    </xdr:to>
    <xdr:sp macro="" textlink="">
      <xdr:nvSpPr>
        <xdr:cNvPr id="1827" name="Oval 1826"/>
        <xdr:cNvSpPr/>
      </xdr:nvSpPr>
      <xdr:spPr bwMode="auto">
        <a:xfrm>
          <a:off x="8064500" y="6096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13</xdr:col>
      <xdr:colOff>548872</xdr:colOff>
      <xdr:row>35</xdr:row>
      <xdr:rowOff>82953</xdr:rowOff>
    </xdr:from>
    <xdr:to>
      <xdr:col>15</xdr:col>
      <xdr:colOff>91672</xdr:colOff>
      <xdr:row>38</xdr:row>
      <xdr:rowOff>117878</xdr:rowOff>
    </xdr:to>
    <xdr:sp macro="" textlink="">
      <xdr:nvSpPr>
        <xdr:cNvPr id="1828" name="Oval 1827"/>
        <xdr:cNvSpPr/>
      </xdr:nvSpPr>
      <xdr:spPr bwMode="auto">
        <a:xfrm>
          <a:off x="8473672" y="7083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15</xdr:col>
      <xdr:colOff>317500</xdr:colOff>
      <xdr:row>37</xdr:row>
      <xdr:rowOff>92075</xdr:rowOff>
    </xdr:from>
    <xdr:to>
      <xdr:col>16</xdr:col>
      <xdr:colOff>469900</xdr:colOff>
      <xdr:row>40</xdr:row>
      <xdr:rowOff>127000</xdr:rowOff>
    </xdr:to>
    <xdr:sp macro="" textlink="">
      <xdr:nvSpPr>
        <xdr:cNvPr id="1829" name="Oval 1828"/>
        <xdr:cNvSpPr/>
      </xdr:nvSpPr>
      <xdr:spPr bwMode="auto">
        <a:xfrm>
          <a:off x="9461500" y="7493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21</xdr:col>
      <xdr:colOff>533400</xdr:colOff>
      <xdr:row>27</xdr:row>
      <xdr:rowOff>60325</xdr:rowOff>
    </xdr:from>
    <xdr:to>
      <xdr:col>25</xdr:col>
      <xdr:colOff>0</xdr:colOff>
      <xdr:row>36</xdr:row>
      <xdr:rowOff>165100</xdr:rowOff>
    </xdr:to>
    <xdr:sp macro="" textlink="">
      <xdr:nvSpPr>
        <xdr:cNvPr id="1830" name="Oval 1829"/>
        <xdr:cNvSpPr/>
      </xdr:nvSpPr>
      <xdr:spPr bwMode="auto">
        <a:xfrm>
          <a:off x="13335000" y="5461000"/>
          <a:ext cx="1905000" cy="1905000"/>
        </a:xfrm>
        <a:prstGeom prst="ellipse">
          <a:avLst/>
        </a:prstGeom>
        <a:solidFill>
          <a:srgbClr val="FFCC99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24</xdr:col>
      <xdr:colOff>263928</xdr:colOff>
      <xdr:row>35</xdr:row>
      <xdr:rowOff>82953</xdr:rowOff>
    </xdr:from>
    <xdr:to>
      <xdr:col>25</xdr:col>
      <xdr:colOff>416328</xdr:colOff>
      <xdr:row>38</xdr:row>
      <xdr:rowOff>117878</xdr:rowOff>
    </xdr:to>
    <xdr:sp macro="" textlink="">
      <xdr:nvSpPr>
        <xdr:cNvPr id="1831" name="Oval 1830"/>
        <xdr:cNvSpPr/>
      </xdr:nvSpPr>
      <xdr:spPr bwMode="auto">
        <a:xfrm>
          <a:off x="14894328" y="7083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25</xdr:col>
      <xdr:colOff>63500</xdr:colOff>
      <xdr:row>30</xdr:row>
      <xdr:rowOff>95250</xdr:rowOff>
    </xdr:from>
    <xdr:to>
      <xdr:col>26</xdr:col>
      <xdr:colOff>215900</xdr:colOff>
      <xdr:row>33</xdr:row>
      <xdr:rowOff>130175</xdr:rowOff>
    </xdr:to>
    <xdr:sp macro="" textlink="">
      <xdr:nvSpPr>
        <xdr:cNvPr id="1832" name="Oval 1831"/>
        <xdr:cNvSpPr/>
      </xdr:nvSpPr>
      <xdr:spPr bwMode="auto">
        <a:xfrm>
          <a:off x="15303500" y="6096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24</xdr:col>
      <xdr:colOff>263928</xdr:colOff>
      <xdr:row>25</xdr:row>
      <xdr:rowOff>107547</xdr:rowOff>
    </xdr:from>
    <xdr:to>
      <xdr:col>25</xdr:col>
      <xdr:colOff>416328</xdr:colOff>
      <xdr:row>28</xdr:row>
      <xdr:rowOff>142472</xdr:rowOff>
    </xdr:to>
    <xdr:sp macro="" textlink="">
      <xdr:nvSpPr>
        <xdr:cNvPr id="1833" name="Oval 1832"/>
        <xdr:cNvSpPr/>
      </xdr:nvSpPr>
      <xdr:spPr bwMode="auto">
        <a:xfrm>
          <a:off x="14894328" y="5108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22</xdr:col>
      <xdr:colOff>495300</xdr:colOff>
      <xdr:row>23</xdr:row>
      <xdr:rowOff>98425</xdr:rowOff>
    </xdr:from>
    <xdr:to>
      <xdr:col>24</xdr:col>
      <xdr:colOff>38100</xdr:colOff>
      <xdr:row>26</xdr:row>
      <xdr:rowOff>133350</xdr:rowOff>
    </xdr:to>
    <xdr:sp macro="" textlink="">
      <xdr:nvSpPr>
        <xdr:cNvPr id="1834" name="Oval 1833"/>
        <xdr:cNvSpPr/>
      </xdr:nvSpPr>
      <xdr:spPr bwMode="auto">
        <a:xfrm>
          <a:off x="13906500" y="4699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21</xdr:col>
      <xdr:colOff>117072</xdr:colOff>
      <xdr:row>25</xdr:row>
      <xdr:rowOff>107547</xdr:rowOff>
    </xdr:from>
    <xdr:to>
      <xdr:col>22</xdr:col>
      <xdr:colOff>269472</xdr:colOff>
      <xdr:row>28</xdr:row>
      <xdr:rowOff>142472</xdr:rowOff>
    </xdr:to>
    <xdr:sp macro="" textlink="">
      <xdr:nvSpPr>
        <xdr:cNvPr id="1835" name="Oval 1834"/>
        <xdr:cNvSpPr/>
      </xdr:nvSpPr>
      <xdr:spPr bwMode="auto">
        <a:xfrm>
          <a:off x="12918672" y="5108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20</xdr:col>
      <xdr:colOff>317500</xdr:colOff>
      <xdr:row>30</xdr:row>
      <xdr:rowOff>95250</xdr:rowOff>
    </xdr:from>
    <xdr:to>
      <xdr:col>21</xdr:col>
      <xdr:colOff>469900</xdr:colOff>
      <xdr:row>33</xdr:row>
      <xdr:rowOff>130175</xdr:rowOff>
    </xdr:to>
    <xdr:sp macro="" textlink="">
      <xdr:nvSpPr>
        <xdr:cNvPr id="1926" name="Oval 1925"/>
        <xdr:cNvSpPr/>
      </xdr:nvSpPr>
      <xdr:spPr bwMode="auto">
        <a:xfrm>
          <a:off x="12509500" y="6096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21</xdr:col>
      <xdr:colOff>117072</xdr:colOff>
      <xdr:row>35</xdr:row>
      <xdr:rowOff>82953</xdr:rowOff>
    </xdr:from>
    <xdr:to>
      <xdr:col>22</xdr:col>
      <xdr:colOff>269472</xdr:colOff>
      <xdr:row>38</xdr:row>
      <xdr:rowOff>117878</xdr:rowOff>
    </xdr:to>
    <xdr:sp macro="" textlink="">
      <xdr:nvSpPr>
        <xdr:cNvPr id="1927" name="Oval 1926"/>
        <xdr:cNvSpPr/>
      </xdr:nvSpPr>
      <xdr:spPr bwMode="auto">
        <a:xfrm>
          <a:off x="12918672" y="7083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22</xdr:col>
      <xdr:colOff>495300</xdr:colOff>
      <xdr:row>37</xdr:row>
      <xdr:rowOff>92075</xdr:rowOff>
    </xdr:from>
    <xdr:to>
      <xdr:col>24</xdr:col>
      <xdr:colOff>38100</xdr:colOff>
      <xdr:row>40</xdr:row>
      <xdr:rowOff>127000</xdr:rowOff>
    </xdr:to>
    <xdr:sp macro="" textlink="">
      <xdr:nvSpPr>
        <xdr:cNvPr id="1928" name="Oval 1927"/>
        <xdr:cNvSpPr/>
      </xdr:nvSpPr>
      <xdr:spPr bwMode="auto">
        <a:xfrm>
          <a:off x="13906500" y="7493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10</xdr:col>
      <xdr:colOff>571500</xdr:colOff>
      <xdr:row>45</xdr:row>
      <xdr:rowOff>15875</xdr:rowOff>
    </xdr:from>
    <xdr:to>
      <xdr:col>14</xdr:col>
      <xdr:colOff>38100</xdr:colOff>
      <xdr:row>54</xdr:row>
      <xdr:rowOff>120650</xdr:rowOff>
    </xdr:to>
    <xdr:sp macro="" textlink="">
      <xdr:nvSpPr>
        <xdr:cNvPr id="1929" name="Oval 1928"/>
        <xdr:cNvSpPr/>
      </xdr:nvSpPr>
      <xdr:spPr bwMode="auto">
        <a:xfrm>
          <a:off x="6667500" y="9017000"/>
          <a:ext cx="1905000" cy="1905000"/>
        </a:xfrm>
        <a:prstGeom prst="ellipse">
          <a:avLst/>
        </a:prstGeom>
        <a:solidFill>
          <a:srgbClr val="FFCC99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13</xdr:col>
      <xdr:colOff>302028</xdr:colOff>
      <xdr:row>53</xdr:row>
      <xdr:rowOff>38503</xdr:rowOff>
    </xdr:from>
    <xdr:to>
      <xdr:col>14</xdr:col>
      <xdr:colOff>454428</xdr:colOff>
      <xdr:row>56</xdr:row>
      <xdr:rowOff>73428</xdr:rowOff>
    </xdr:to>
    <xdr:sp macro="" textlink="">
      <xdr:nvSpPr>
        <xdr:cNvPr id="1930" name="Oval 1929"/>
        <xdr:cNvSpPr/>
      </xdr:nvSpPr>
      <xdr:spPr bwMode="auto">
        <a:xfrm>
          <a:off x="8226828" y="10639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14</xdr:col>
      <xdr:colOff>101600</xdr:colOff>
      <xdr:row>48</xdr:row>
      <xdr:rowOff>50800</xdr:rowOff>
    </xdr:from>
    <xdr:to>
      <xdr:col>15</xdr:col>
      <xdr:colOff>254000</xdr:colOff>
      <xdr:row>51</xdr:row>
      <xdr:rowOff>85725</xdr:rowOff>
    </xdr:to>
    <xdr:sp macro="" textlink="">
      <xdr:nvSpPr>
        <xdr:cNvPr id="1931" name="Oval 1930"/>
        <xdr:cNvSpPr/>
      </xdr:nvSpPr>
      <xdr:spPr bwMode="auto">
        <a:xfrm>
          <a:off x="8636000" y="9652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13</xdr:col>
      <xdr:colOff>302028</xdr:colOff>
      <xdr:row>43</xdr:row>
      <xdr:rowOff>63097</xdr:rowOff>
    </xdr:from>
    <xdr:to>
      <xdr:col>14</xdr:col>
      <xdr:colOff>454428</xdr:colOff>
      <xdr:row>46</xdr:row>
      <xdr:rowOff>98022</xdr:rowOff>
    </xdr:to>
    <xdr:sp macro="" textlink="">
      <xdr:nvSpPr>
        <xdr:cNvPr id="1932" name="Oval 1931"/>
        <xdr:cNvSpPr/>
      </xdr:nvSpPr>
      <xdr:spPr bwMode="auto">
        <a:xfrm>
          <a:off x="8226828" y="8664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11</xdr:col>
      <xdr:colOff>533400</xdr:colOff>
      <xdr:row>41</xdr:row>
      <xdr:rowOff>53975</xdr:rowOff>
    </xdr:from>
    <xdr:to>
      <xdr:col>13</xdr:col>
      <xdr:colOff>76200</xdr:colOff>
      <xdr:row>44</xdr:row>
      <xdr:rowOff>88900</xdr:rowOff>
    </xdr:to>
    <xdr:sp macro="" textlink="">
      <xdr:nvSpPr>
        <xdr:cNvPr id="1933" name="Oval 1932"/>
        <xdr:cNvSpPr/>
      </xdr:nvSpPr>
      <xdr:spPr bwMode="auto">
        <a:xfrm>
          <a:off x="7239000" y="8255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10</xdr:col>
      <xdr:colOff>155172</xdr:colOff>
      <xdr:row>43</xdr:row>
      <xdr:rowOff>63097</xdr:rowOff>
    </xdr:from>
    <xdr:to>
      <xdr:col>11</xdr:col>
      <xdr:colOff>307572</xdr:colOff>
      <xdr:row>46</xdr:row>
      <xdr:rowOff>98022</xdr:rowOff>
    </xdr:to>
    <xdr:sp macro="" textlink="">
      <xdr:nvSpPr>
        <xdr:cNvPr id="1934" name="Oval 1933"/>
        <xdr:cNvSpPr/>
      </xdr:nvSpPr>
      <xdr:spPr bwMode="auto">
        <a:xfrm>
          <a:off x="6251172" y="8664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9</xdr:col>
      <xdr:colOff>355600</xdr:colOff>
      <xdr:row>48</xdr:row>
      <xdr:rowOff>50800</xdr:rowOff>
    </xdr:from>
    <xdr:to>
      <xdr:col>10</xdr:col>
      <xdr:colOff>508000</xdr:colOff>
      <xdr:row>51</xdr:row>
      <xdr:rowOff>85725</xdr:rowOff>
    </xdr:to>
    <xdr:sp macro="" textlink="">
      <xdr:nvSpPr>
        <xdr:cNvPr id="1935" name="Oval 1934"/>
        <xdr:cNvSpPr/>
      </xdr:nvSpPr>
      <xdr:spPr bwMode="auto">
        <a:xfrm>
          <a:off x="5842000" y="9652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10</xdr:col>
      <xdr:colOff>155172</xdr:colOff>
      <xdr:row>53</xdr:row>
      <xdr:rowOff>38503</xdr:rowOff>
    </xdr:from>
    <xdr:to>
      <xdr:col>11</xdr:col>
      <xdr:colOff>307572</xdr:colOff>
      <xdr:row>56</xdr:row>
      <xdr:rowOff>73428</xdr:rowOff>
    </xdr:to>
    <xdr:sp macro="" textlink="">
      <xdr:nvSpPr>
        <xdr:cNvPr id="1936" name="Oval 1935"/>
        <xdr:cNvSpPr/>
      </xdr:nvSpPr>
      <xdr:spPr bwMode="auto">
        <a:xfrm>
          <a:off x="6251172" y="10639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11</xdr:col>
      <xdr:colOff>533400</xdr:colOff>
      <xdr:row>55</xdr:row>
      <xdr:rowOff>47625</xdr:rowOff>
    </xdr:from>
    <xdr:to>
      <xdr:col>13</xdr:col>
      <xdr:colOff>76200</xdr:colOff>
      <xdr:row>58</xdr:row>
      <xdr:rowOff>82550</xdr:rowOff>
    </xdr:to>
    <xdr:sp macro="" textlink="">
      <xdr:nvSpPr>
        <xdr:cNvPr id="1937" name="Oval 1936"/>
        <xdr:cNvSpPr/>
      </xdr:nvSpPr>
      <xdr:spPr bwMode="auto">
        <a:xfrm>
          <a:off x="7239000" y="11049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18</xdr:col>
      <xdr:colOff>139700</xdr:colOff>
      <xdr:row>45</xdr:row>
      <xdr:rowOff>15875</xdr:rowOff>
    </xdr:from>
    <xdr:to>
      <xdr:col>21</xdr:col>
      <xdr:colOff>215900</xdr:colOff>
      <xdr:row>54</xdr:row>
      <xdr:rowOff>120650</xdr:rowOff>
    </xdr:to>
    <xdr:sp macro="" textlink="">
      <xdr:nvSpPr>
        <xdr:cNvPr id="1938" name="Oval 1937"/>
        <xdr:cNvSpPr/>
      </xdr:nvSpPr>
      <xdr:spPr bwMode="auto">
        <a:xfrm>
          <a:off x="11112500" y="9017000"/>
          <a:ext cx="1905000" cy="1905000"/>
        </a:xfrm>
        <a:prstGeom prst="ellipse">
          <a:avLst/>
        </a:prstGeom>
        <a:solidFill>
          <a:srgbClr val="FFCC99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20</xdr:col>
      <xdr:colOff>479828</xdr:colOff>
      <xdr:row>53</xdr:row>
      <xdr:rowOff>38503</xdr:rowOff>
    </xdr:from>
    <xdr:to>
      <xdr:col>22</xdr:col>
      <xdr:colOff>22628</xdr:colOff>
      <xdr:row>56</xdr:row>
      <xdr:rowOff>73428</xdr:rowOff>
    </xdr:to>
    <xdr:sp macro="" textlink="">
      <xdr:nvSpPr>
        <xdr:cNvPr id="1939" name="Oval 1938"/>
        <xdr:cNvSpPr/>
      </xdr:nvSpPr>
      <xdr:spPr bwMode="auto">
        <a:xfrm>
          <a:off x="12671828" y="10639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21</xdr:col>
      <xdr:colOff>279400</xdr:colOff>
      <xdr:row>48</xdr:row>
      <xdr:rowOff>50800</xdr:rowOff>
    </xdr:from>
    <xdr:to>
      <xdr:col>22</xdr:col>
      <xdr:colOff>431800</xdr:colOff>
      <xdr:row>51</xdr:row>
      <xdr:rowOff>85725</xdr:rowOff>
    </xdr:to>
    <xdr:sp macro="" textlink="">
      <xdr:nvSpPr>
        <xdr:cNvPr id="1940" name="Oval 1939"/>
        <xdr:cNvSpPr/>
      </xdr:nvSpPr>
      <xdr:spPr bwMode="auto">
        <a:xfrm>
          <a:off x="13081000" y="9652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20</xdr:col>
      <xdr:colOff>479828</xdr:colOff>
      <xdr:row>43</xdr:row>
      <xdr:rowOff>63097</xdr:rowOff>
    </xdr:from>
    <xdr:to>
      <xdr:col>22</xdr:col>
      <xdr:colOff>22628</xdr:colOff>
      <xdr:row>46</xdr:row>
      <xdr:rowOff>98022</xdr:rowOff>
    </xdr:to>
    <xdr:sp macro="" textlink="">
      <xdr:nvSpPr>
        <xdr:cNvPr id="1941" name="Oval 1940"/>
        <xdr:cNvSpPr/>
      </xdr:nvSpPr>
      <xdr:spPr bwMode="auto">
        <a:xfrm>
          <a:off x="12671828" y="8664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19</xdr:col>
      <xdr:colOff>101600</xdr:colOff>
      <xdr:row>41</xdr:row>
      <xdr:rowOff>53975</xdr:rowOff>
    </xdr:from>
    <xdr:to>
      <xdr:col>20</xdr:col>
      <xdr:colOff>254000</xdr:colOff>
      <xdr:row>44</xdr:row>
      <xdr:rowOff>88900</xdr:rowOff>
    </xdr:to>
    <xdr:sp macro="" textlink="">
      <xdr:nvSpPr>
        <xdr:cNvPr id="1942" name="Oval 1941"/>
        <xdr:cNvSpPr/>
      </xdr:nvSpPr>
      <xdr:spPr bwMode="auto">
        <a:xfrm>
          <a:off x="11684000" y="8255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17</xdr:col>
      <xdr:colOff>332972</xdr:colOff>
      <xdr:row>43</xdr:row>
      <xdr:rowOff>63097</xdr:rowOff>
    </xdr:from>
    <xdr:to>
      <xdr:col>18</xdr:col>
      <xdr:colOff>485372</xdr:colOff>
      <xdr:row>46</xdr:row>
      <xdr:rowOff>98022</xdr:rowOff>
    </xdr:to>
    <xdr:sp macro="" textlink="">
      <xdr:nvSpPr>
        <xdr:cNvPr id="1943" name="Oval 1942"/>
        <xdr:cNvSpPr/>
      </xdr:nvSpPr>
      <xdr:spPr bwMode="auto">
        <a:xfrm>
          <a:off x="10696172" y="8664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16</xdr:col>
      <xdr:colOff>533400</xdr:colOff>
      <xdr:row>48</xdr:row>
      <xdr:rowOff>50800</xdr:rowOff>
    </xdr:from>
    <xdr:to>
      <xdr:col>18</xdr:col>
      <xdr:colOff>76200</xdr:colOff>
      <xdr:row>51</xdr:row>
      <xdr:rowOff>85725</xdr:rowOff>
    </xdr:to>
    <xdr:sp macro="" textlink="">
      <xdr:nvSpPr>
        <xdr:cNvPr id="1944" name="Oval 1943"/>
        <xdr:cNvSpPr/>
      </xdr:nvSpPr>
      <xdr:spPr bwMode="auto">
        <a:xfrm>
          <a:off x="10287000" y="9652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17</xdr:col>
      <xdr:colOff>332972</xdr:colOff>
      <xdr:row>53</xdr:row>
      <xdr:rowOff>38503</xdr:rowOff>
    </xdr:from>
    <xdr:to>
      <xdr:col>18</xdr:col>
      <xdr:colOff>485372</xdr:colOff>
      <xdr:row>56</xdr:row>
      <xdr:rowOff>73428</xdr:rowOff>
    </xdr:to>
    <xdr:sp macro="" textlink="">
      <xdr:nvSpPr>
        <xdr:cNvPr id="1945" name="Oval 1944"/>
        <xdr:cNvSpPr/>
      </xdr:nvSpPr>
      <xdr:spPr bwMode="auto">
        <a:xfrm>
          <a:off x="10696172" y="10639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19</xdr:col>
      <xdr:colOff>101600</xdr:colOff>
      <xdr:row>55</xdr:row>
      <xdr:rowOff>47625</xdr:rowOff>
    </xdr:from>
    <xdr:to>
      <xdr:col>20</xdr:col>
      <xdr:colOff>254000</xdr:colOff>
      <xdr:row>58</xdr:row>
      <xdr:rowOff>82550</xdr:rowOff>
    </xdr:to>
    <xdr:sp macro="" textlink="">
      <xdr:nvSpPr>
        <xdr:cNvPr id="1946" name="Oval 1945"/>
        <xdr:cNvSpPr/>
      </xdr:nvSpPr>
      <xdr:spPr bwMode="auto">
        <a:xfrm>
          <a:off x="11684000" y="11049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7</xdr:col>
      <xdr:colOff>177800</xdr:colOff>
      <xdr:row>62</xdr:row>
      <xdr:rowOff>171450</xdr:rowOff>
    </xdr:from>
    <xdr:to>
      <xdr:col>10</xdr:col>
      <xdr:colOff>254000</xdr:colOff>
      <xdr:row>72</xdr:row>
      <xdr:rowOff>76200</xdr:rowOff>
    </xdr:to>
    <xdr:sp macro="" textlink="">
      <xdr:nvSpPr>
        <xdr:cNvPr id="1947" name="Oval 1946"/>
        <xdr:cNvSpPr/>
      </xdr:nvSpPr>
      <xdr:spPr bwMode="auto">
        <a:xfrm>
          <a:off x="4445000" y="12573000"/>
          <a:ext cx="1905000" cy="1905000"/>
        </a:xfrm>
        <a:prstGeom prst="ellipse">
          <a:avLst/>
        </a:prstGeom>
        <a:solidFill>
          <a:srgbClr val="FFCC99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9</xdr:col>
      <xdr:colOff>517928</xdr:colOff>
      <xdr:row>70</xdr:row>
      <xdr:rowOff>194078</xdr:rowOff>
    </xdr:from>
    <xdr:to>
      <xdr:col>11</xdr:col>
      <xdr:colOff>60728</xdr:colOff>
      <xdr:row>74</xdr:row>
      <xdr:rowOff>28978</xdr:rowOff>
    </xdr:to>
    <xdr:sp macro="" textlink="">
      <xdr:nvSpPr>
        <xdr:cNvPr id="1948" name="Oval 1947"/>
        <xdr:cNvSpPr/>
      </xdr:nvSpPr>
      <xdr:spPr bwMode="auto">
        <a:xfrm>
          <a:off x="6004328" y="14195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10</xdr:col>
      <xdr:colOff>317500</xdr:colOff>
      <xdr:row>66</xdr:row>
      <xdr:rowOff>6350</xdr:rowOff>
    </xdr:from>
    <xdr:to>
      <xdr:col>11</xdr:col>
      <xdr:colOff>469900</xdr:colOff>
      <xdr:row>69</xdr:row>
      <xdr:rowOff>41275</xdr:rowOff>
    </xdr:to>
    <xdr:sp macro="" textlink="">
      <xdr:nvSpPr>
        <xdr:cNvPr id="1949" name="Oval 1948"/>
        <xdr:cNvSpPr/>
      </xdr:nvSpPr>
      <xdr:spPr bwMode="auto">
        <a:xfrm>
          <a:off x="6413500" y="13208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9</xdr:col>
      <xdr:colOff>517928</xdr:colOff>
      <xdr:row>61</xdr:row>
      <xdr:rowOff>18647</xdr:rowOff>
    </xdr:from>
    <xdr:to>
      <xdr:col>11</xdr:col>
      <xdr:colOff>60728</xdr:colOff>
      <xdr:row>64</xdr:row>
      <xdr:rowOff>53572</xdr:rowOff>
    </xdr:to>
    <xdr:sp macro="" textlink="">
      <xdr:nvSpPr>
        <xdr:cNvPr id="1950" name="Oval 1949"/>
        <xdr:cNvSpPr/>
      </xdr:nvSpPr>
      <xdr:spPr bwMode="auto">
        <a:xfrm>
          <a:off x="6004328" y="12220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8</xdr:col>
      <xdr:colOff>139700</xdr:colOff>
      <xdr:row>59</xdr:row>
      <xdr:rowOff>9525</xdr:rowOff>
    </xdr:from>
    <xdr:to>
      <xdr:col>9</xdr:col>
      <xdr:colOff>292100</xdr:colOff>
      <xdr:row>62</xdr:row>
      <xdr:rowOff>44450</xdr:rowOff>
    </xdr:to>
    <xdr:sp macro="" textlink="">
      <xdr:nvSpPr>
        <xdr:cNvPr id="1951" name="Oval 1950"/>
        <xdr:cNvSpPr/>
      </xdr:nvSpPr>
      <xdr:spPr bwMode="auto">
        <a:xfrm>
          <a:off x="5016500" y="11811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6</xdr:col>
      <xdr:colOff>371072</xdr:colOff>
      <xdr:row>61</xdr:row>
      <xdr:rowOff>18647</xdr:rowOff>
    </xdr:from>
    <xdr:to>
      <xdr:col>7</xdr:col>
      <xdr:colOff>523472</xdr:colOff>
      <xdr:row>64</xdr:row>
      <xdr:rowOff>53572</xdr:rowOff>
    </xdr:to>
    <xdr:sp macro="" textlink="">
      <xdr:nvSpPr>
        <xdr:cNvPr id="1952" name="Oval 1951"/>
        <xdr:cNvSpPr/>
      </xdr:nvSpPr>
      <xdr:spPr bwMode="auto">
        <a:xfrm>
          <a:off x="4028672" y="12220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5</xdr:col>
      <xdr:colOff>571500</xdr:colOff>
      <xdr:row>66</xdr:row>
      <xdr:rowOff>6350</xdr:rowOff>
    </xdr:from>
    <xdr:to>
      <xdr:col>7</xdr:col>
      <xdr:colOff>114300</xdr:colOff>
      <xdr:row>69</xdr:row>
      <xdr:rowOff>41275</xdr:rowOff>
    </xdr:to>
    <xdr:sp macro="" textlink="">
      <xdr:nvSpPr>
        <xdr:cNvPr id="1953" name="Oval 1952"/>
        <xdr:cNvSpPr/>
      </xdr:nvSpPr>
      <xdr:spPr bwMode="auto">
        <a:xfrm>
          <a:off x="3619500" y="13208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6</xdr:col>
      <xdr:colOff>371072</xdr:colOff>
      <xdr:row>70</xdr:row>
      <xdr:rowOff>194078</xdr:rowOff>
    </xdr:from>
    <xdr:to>
      <xdr:col>7</xdr:col>
      <xdr:colOff>523472</xdr:colOff>
      <xdr:row>74</xdr:row>
      <xdr:rowOff>28978</xdr:rowOff>
    </xdr:to>
    <xdr:sp macro="" textlink="">
      <xdr:nvSpPr>
        <xdr:cNvPr id="1954" name="Oval 1953"/>
        <xdr:cNvSpPr/>
      </xdr:nvSpPr>
      <xdr:spPr bwMode="auto">
        <a:xfrm>
          <a:off x="4028672" y="14195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8</xdr:col>
      <xdr:colOff>139700</xdr:colOff>
      <xdr:row>73</xdr:row>
      <xdr:rowOff>3175</xdr:rowOff>
    </xdr:from>
    <xdr:to>
      <xdr:col>9</xdr:col>
      <xdr:colOff>292100</xdr:colOff>
      <xdr:row>76</xdr:row>
      <xdr:rowOff>38100</xdr:rowOff>
    </xdr:to>
    <xdr:sp macro="" textlink="">
      <xdr:nvSpPr>
        <xdr:cNvPr id="1955" name="Oval 1954"/>
        <xdr:cNvSpPr/>
      </xdr:nvSpPr>
      <xdr:spPr bwMode="auto">
        <a:xfrm>
          <a:off x="5016500" y="14605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14</xdr:col>
      <xdr:colOff>355600</xdr:colOff>
      <xdr:row>62</xdr:row>
      <xdr:rowOff>171450</xdr:rowOff>
    </xdr:from>
    <xdr:to>
      <xdr:col>17</xdr:col>
      <xdr:colOff>431800</xdr:colOff>
      <xdr:row>72</xdr:row>
      <xdr:rowOff>76200</xdr:rowOff>
    </xdr:to>
    <xdr:sp macro="" textlink="">
      <xdr:nvSpPr>
        <xdr:cNvPr id="1956" name="Oval 1955"/>
        <xdr:cNvSpPr/>
      </xdr:nvSpPr>
      <xdr:spPr bwMode="auto">
        <a:xfrm>
          <a:off x="8890000" y="12573000"/>
          <a:ext cx="1905000" cy="1905000"/>
        </a:xfrm>
        <a:prstGeom prst="ellipse">
          <a:avLst/>
        </a:prstGeom>
        <a:solidFill>
          <a:srgbClr val="FFCC99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17</xdr:col>
      <xdr:colOff>86128</xdr:colOff>
      <xdr:row>70</xdr:row>
      <xdr:rowOff>194078</xdr:rowOff>
    </xdr:from>
    <xdr:to>
      <xdr:col>18</xdr:col>
      <xdr:colOff>238528</xdr:colOff>
      <xdr:row>74</xdr:row>
      <xdr:rowOff>28978</xdr:rowOff>
    </xdr:to>
    <xdr:sp macro="" textlink="">
      <xdr:nvSpPr>
        <xdr:cNvPr id="1957" name="Oval 1956"/>
        <xdr:cNvSpPr/>
      </xdr:nvSpPr>
      <xdr:spPr bwMode="auto">
        <a:xfrm>
          <a:off x="10449328" y="14195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17</xdr:col>
      <xdr:colOff>495300</xdr:colOff>
      <xdr:row>66</xdr:row>
      <xdr:rowOff>6350</xdr:rowOff>
    </xdr:from>
    <xdr:to>
      <xdr:col>19</xdr:col>
      <xdr:colOff>38100</xdr:colOff>
      <xdr:row>69</xdr:row>
      <xdr:rowOff>41275</xdr:rowOff>
    </xdr:to>
    <xdr:sp macro="" textlink="">
      <xdr:nvSpPr>
        <xdr:cNvPr id="1958" name="Oval 1957"/>
        <xdr:cNvSpPr/>
      </xdr:nvSpPr>
      <xdr:spPr bwMode="auto">
        <a:xfrm>
          <a:off x="10858500" y="13208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17</xdr:col>
      <xdr:colOff>86128</xdr:colOff>
      <xdr:row>61</xdr:row>
      <xdr:rowOff>18647</xdr:rowOff>
    </xdr:from>
    <xdr:to>
      <xdr:col>18</xdr:col>
      <xdr:colOff>238528</xdr:colOff>
      <xdr:row>64</xdr:row>
      <xdr:rowOff>53572</xdr:rowOff>
    </xdr:to>
    <xdr:sp macro="" textlink="">
      <xdr:nvSpPr>
        <xdr:cNvPr id="1959" name="Oval 1958"/>
        <xdr:cNvSpPr/>
      </xdr:nvSpPr>
      <xdr:spPr bwMode="auto">
        <a:xfrm>
          <a:off x="10449328" y="12220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15</xdr:col>
      <xdr:colOff>317500</xdr:colOff>
      <xdr:row>59</xdr:row>
      <xdr:rowOff>9525</xdr:rowOff>
    </xdr:from>
    <xdr:to>
      <xdr:col>16</xdr:col>
      <xdr:colOff>469900</xdr:colOff>
      <xdr:row>62</xdr:row>
      <xdr:rowOff>44450</xdr:rowOff>
    </xdr:to>
    <xdr:sp macro="" textlink="">
      <xdr:nvSpPr>
        <xdr:cNvPr id="1960" name="Oval 1959"/>
        <xdr:cNvSpPr/>
      </xdr:nvSpPr>
      <xdr:spPr bwMode="auto">
        <a:xfrm>
          <a:off x="9461500" y="11811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13</xdr:col>
      <xdr:colOff>548872</xdr:colOff>
      <xdr:row>61</xdr:row>
      <xdr:rowOff>18647</xdr:rowOff>
    </xdr:from>
    <xdr:to>
      <xdr:col>15</xdr:col>
      <xdr:colOff>91672</xdr:colOff>
      <xdr:row>64</xdr:row>
      <xdr:rowOff>53572</xdr:rowOff>
    </xdr:to>
    <xdr:sp macro="" textlink="">
      <xdr:nvSpPr>
        <xdr:cNvPr id="1961" name="Oval 1960"/>
        <xdr:cNvSpPr/>
      </xdr:nvSpPr>
      <xdr:spPr bwMode="auto">
        <a:xfrm>
          <a:off x="8473672" y="12220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13</xdr:col>
      <xdr:colOff>139700</xdr:colOff>
      <xdr:row>66</xdr:row>
      <xdr:rowOff>6350</xdr:rowOff>
    </xdr:from>
    <xdr:to>
      <xdr:col>14</xdr:col>
      <xdr:colOff>292100</xdr:colOff>
      <xdr:row>69</xdr:row>
      <xdr:rowOff>41275</xdr:rowOff>
    </xdr:to>
    <xdr:sp macro="" textlink="">
      <xdr:nvSpPr>
        <xdr:cNvPr id="1962" name="Oval 1961"/>
        <xdr:cNvSpPr/>
      </xdr:nvSpPr>
      <xdr:spPr bwMode="auto">
        <a:xfrm>
          <a:off x="8064500" y="13208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13</xdr:col>
      <xdr:colOff>548872</xdr:colOff>
      <xdr:row>70</xdr:row>
      <xdr:rowOff>194078</xdr:rowOff>
    </xdr:from>
    <xdr:to>
      <xdr:col>15</xdr:col>
      <xdr:colOff>91672</xdr:colOff>
      <xdr:row>74</xdr:row>
      <xdr:rowOff>28978</xdr:rowOff>
    </xdr:to>
    <xdr:sp macro="" textlink="">
      <xdr:nvSpPr>
        <xdr:cNvPr id="1963" name="Oval 1962"/>
        <xdr:cNvSpPr/>
      </xdr:nvSpPr>
      <xdr:spPr bwMode="auto">
        <a:xfrm>
          <a:off x="8473672" y="14195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15</xdr:col>
      <xdr:colOff>317500</xdr:colOff>
      <xdr:row>73</xdr:row>
      <xdr:rowOff>3175</xdr:rowOff>
    </xdr:from>
    <xdr:to>
      <xdr:col>16</xdr:col>
      <xdr:colOff>469900</xdr:colOff>
      <xdr:row>76</xdr:row>
      <xdr:rowOff>38100</xdr:rowOff>
    </xdr:to>
    <xdr:sp macro="" textlink="">
      <xdr:nvSpPr>
        <xdr:cNvPr id="1964" name="Oval 1963"/>
        <xdr:cNvSpPr/>
      </xdr:nvSpPr>
      <xdr:spPr bwMode="auto">
        <a:xfrm>
          <a:off x="9461500" y="14605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21</xdr:col>
      <xdr:colOff>533400</xdr:colOff>
      <xdr:row>62</xdr:row>
      <xdr:rowOff>171450</xdr:rowOff>
    </xdr:from>
    <xdr:to>
      <xdr:col>25</xdr:col>
      <xdr:colOff>0</xdr:colOff>
      <xdr:row>72</xdr:row>
      <xdr:rowOff>76200</xdr:rowOff>
    </xdr:to>
    <xdr:sp macro="" textlink="">
      <xdr:nvSpPr>
        <xdr:cNvPr id="1965" name="Oval 1964"/>
        <xdr:cNvSpPr/>
      </xdr:nvSpPr>
      <xdr:spPr bwMode="auto">
        <a:xfrm>
          <a:off x="13335000" y="12573000"/>
          <a:ext cx="1905000" cy="1905000"/>
        </a:xfrm>
        <a:prstGeom prst="ellipse">
          <a:avLst/>
        </a:prstGeom>
        <a:solidFill>
          <a:srgbClr val="FFCC99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24</xdr:col>
      <xdr:colOff>263928</xdr:colOff>
      <xdr:row>70</xdr:row>
      <xdr:rowOff>194078</xdr:rowOff>
    </xdr:from>
    <xdr:to>
      <xdr:col>25</xdr:col>
      <xdr:colOff>416328</xdr:colOff>
      <xdr:row>74</xdr:row>
      <xdr:rowOff>28978</xdr:rowOff>
    </xdr:to>
    <xdr:sp macro="" textlink="">
      <xdr:nvSpPr>
        <xdr:cNvPr id="1966" name="Oval 1965"/>
        <xdr:cNvSpPr/>
      </xdr:nvSpPr>
      <xdr:spPr bwMode="auto">
        <a:xfrm>
          <a:off x="14894328" y="14195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25</xdr:col>
      <xdr:colOff>63500</xdr:colOff>
      <xdr:row>66</xdr:row>
      <xdr:rowOff>6350</xdr:rowOff>
    </xdr:from>
    <xdr:to>
      <xdr:col>26</xdr:col>
      <xdr:colOff>215900</xdr:colOff>
      <xdr:row>69</xdr:row>
      <xdr:rowOff>41275</xdr:rowOff>
    </xdr:to>
    <xdr:sp macro="" textlink="">
      <xdr:nvSpPr>
        <xdr:cNvPr id="1967" name="Oval 1966"/>
        <xdr:cNvSpPr/>
      </xdr:nvSpPr>
      <xdr:spPr bwMode="auto">
        <a:xfrm>
          <a:off x="15303500" y="13208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24</xdr:col>
      <xdr:colOff>263928</xdr:colOff>
      <xdr:row>61</xdr:row>
      <xdr:rowOff>18647</xdr:rowOff>
    </xdr:from>
    <xdr:to>
      <xdr:col>25</xdr:col>
      <xdr:colOff>416328</xdr:colOff>
      <xdr:row>64</xdr:row>
      <xdr:rowOff>53572</xdr:rowOff>
    </xdr:to>
    <xdr:sp macro="" textlink="">
      <xdr:nvSpPr>
        <xdr:cNvPr id="1968" name="Oval 1967"/>
        <xdr:cNvSpPr/>
      </xdr:nvSpPr>
      <xdr:spPr bwMode="auto">
        <a:xfrm>
          <a:off x="14894328" y="12220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22</xdr:col>
      <xdr:colOff>495300</xdr:colOff>
      <xdr:row>59</xdr:row>
      <xdr:rowOff>9525</xdr:rowOff>
    </xdr:from>
    <xdr:to>
      <xdr:col>24</xdr:col>
      <xdr:colOff>38100</xdr:colOff>
      <xdr:row>62</xdr:row>
      <xdr:rowOff>44450</xdr:rowOff>
    </xdr:to>
    <xdr:sp macro="" textlink="">
      <xdr:nvSpPr>
        <xdr:cNvPr id="1969" name="Oval 1968"/>
        <xdr:cNvSpPr/>
      </xdr:nvSpPr>
      <xdr:spPr bwMode="auto">
        <a:xfrm>
          <a:off x="13906500" y="11811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21</xdr:col>
      <xdr:colOff>117072</xdr:colOff>
      <xdr:row>61</xdr:row>
      <xdr:rowOff>18647</xdr:rowOff>
    </xdr:from>
    <xdr:to>
      <xdr:col>22</xdr:col>
      <xdr:colOff>269472</xdr:colOff>
      <xdr:row>64</xdr:row>
      <xdr:rowOff>53572</xdr:rowOff>
    </xdr:to>
    <xdr:sp macro="" textlink="">
      <xdr:nvSpPr>
        <xdr:cNvPr id="1970" name="Oval 1969"/>
        <xdr:cNvSpPr/>
      </xdr:nvSpPr>
      <xdr:spPr bwMode="auto">
        <a:xfrm>
          <a:off x="12918672" y="12220172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20</xdr:col>
      <xdr:colOff>317500</xdr:colOff>
      <xdr:row>66</xdr:row>
      <xdr:rowOff>6350</xdr:rowOff>
    </xdr:from>
    <xdr:to>
      <xdr:col>21</xdr:col>
      <xdr:colOff>469900</xdr:colOff>
      <xdr:row>69</xdr:row>
      <xdr:rowOff>41275</xdr:rowOff>
    </xdr:to>
    <xdr:sp macro="" textlink="">
      <xdr:nvSpPr>
        <xdr:cNvPr id="1971" name="Oval 1970"/>
        <xdr:cNvSpPr/>
      </xdr:nvSpPr>
      <xdr:spPr bwMode="auto">
        <a:xfrm>
          <a:off x="12509500" y="13208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21</xdr:col>
      <xdr:colOff>117072</xdr:colOff>
      <xdr:row>70</xdr:row>
      <xdr:rowOff>194078</xdr:rowOff>
    </xdr:from>
    <xdr:to>
      <xdr:col>22</xdr:col>
      <xdr:colOff>269472</xdr:colOff>
      <xdr:row>74</xdr:row>
      <xdr:rowOff>28978</xdr:rowOff>
    </xdr:to>
    <xdr:sp macro="" textlink="">
      <xdr:nvSpPr>
        <xdr:cNvPr id="1972" name="Oval 1971"/>
        <xdr:cNvSpPr/>
      </xdr:nvSpPr>
      <xdr:spPr bwMode="auto">
        <a:xfrm>
          <a:off x="12918672" y="14195828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  <xdr:twoCellAnchor>
    <xdr:from>
      <xdr:col>22</xdr:col>
      <xdr:colOff>495300</xdr:colOff>
      <xdr:row>73</xdr:row>
      <xdr:rowOff>3175</xdr:rowOff>
    </xdr:from>
    <xdr:to>
      <xdr:col>24</xdr:col>
      <xdr:colOff>38100</xdr:colOff>
      <xdr:row>76</xdr:row>
      <xdr:rowOff>38100</xdr:rowOff>
    </xdr:to>
    <xdr:sp macro="" textlink="">
      <xdr:nvSpPr>
        <xdr:cNvPr id="1973" name="Oval 1972"/>
        <xdr:cNvSpPr/>
      </xdr:nvSpPr>
      <xdr:spPr bwMode="auto">
        <a:xfrm>
          <a:off x="13906500" y="14605000"/>
          <a:ext cx="762000" cy="6350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CC99"/>
              </a:solidFill>
            </a14:hiddenFill>
          </a:ext>
        </a:extLst>
      </xdr:spPr>
      <xdr:txBody>
        <a:bodyPr vertOverflow="clip" horzOverflow="clip" rtlCol="0" anchor="t"/>
        <a:lstStyle/>
        <a:p>
          <a:pPr algn="l"/>
          <a:endParaRPr lang="en-GB" sz="800" b="0" i="0" u="none" strike="noStrike">
            <a:solidFill>
              <a:srgbClr val="000000"/>
            </a:solidFill>
            <a:latin typeface="Arial Narrow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>
          <a:solidFill>
            <a:srgbClr val="000000"/>
          </a:solidFill>
          <a:round/>
          <a:headEnd/>
          <a:tailEnd/>
        </a:ln>
      </a:spPr>
      <a:bodyPr vertOverflow="clip" horzOverflow="clip" rtlCol="0" anchor="t"/>
      <a:lstStyle>
        <a:defPPr algn="l">
          <a:defRPr sz="800" b="0" i="0" u="none" strike="noStrike">
            <a:solidFill>
              <a:srgbClr val="000000"/>
            </a:solidFill>
            <a:latin typeface="Arial Narrow"/>
          </a:defRPr>
        </a:defPPr>
      </a:lst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Z89"/>
  <sheetViews>
    <sheetView showGridLines="0" tabSelected="1" topLeftCell="D31" zoomScaleNormal="100" zoomScaleSheetLayoutView="100" workbookViewId="0"/>
  </sheetViews>
  <sheetFormatPr defaultRowHeight="15.75" x14ac:dyDescent="0.25"/>
  <cols>
    <col min="1" max="1" width="11.28515625" bestFit="1" customWidth="1"/>
    <col min="2" max="2" width="24" style="50" hidden="1" customWidth="1"/>
    <col min="3" max="3" width="7.7109375" style="1" hidden="1" customWidth="1"/>
    <col min="4" max="4" width="7.7109375" style="73" customWidth="1"/>
    <col min="5" max="5" width="27" style="74" bestFit="1" customWidth="1"/>
    <col min="16" max="16" width="9.140625" customWidth="1"/>
  </cols>
  <sheetData>
    <row r="1" spans="1:26" x14ac:dyDescent="0.25">
      <c r="F1" s="59"/>
      <c r="G1" s="59"/>
    </row>
    <row r="2" spans="1:26" x14ac:dyDescent="0.25">
      <c r="C2" s="45"/>
      <c r="D2" s="75"/>
      <c r="E2" s="76"/>
      <c r="F2" s="59"/>
      <c r="G2" s="59"/>
    </row>
    <row r="3" spans="1:26" x14ac:dyDescent="0.25">
      <c r="A3" s="46"/>
      <c r="C3" s="45"/>
      <c r="D3" s="75"/>
      <c r="E3" s="76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</row>
    <row r="4" spans="1:26" ht="264" customHeight="1" x14ac:dyDescent="0.25">
      <c r="A4" s="46"/>
      <c r="C4" s="45"/>
      <c r="D4" s="75"/>
      <c r="E4" s="76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</row>
    <row r="5" spans="1:26" x14ac:dyDescent="0.25">
      <c r="C5" s="45"/>
      <c r="D5" s="75"/>
      <c r="E5" s="76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26" x14ac:dyDescent="0.25">
      <c r="C6" s="45"/>
      <c r="D6" s="75"/>
      <c r="E6" s="76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</row>
    <row r="7" spans="1:26" x14ac:dyDescent="0.25">
      <c r="C7" s="45"/>
      <c r="D7" s="75"/>
      <c r="E7" s="76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</row>
    <row r="8" spans="1:26" x14ac:dyDescent="0.25">
      <c r="C8" s="45"/>
      <c r="D8" s="75"/>
      <c r="E8" s="76"/>
      <c r="H8" s="59"/>
      <c r="I8" s="59"/>
      <c r="J8" s="59"/>
      <c r="K8" s="59"/>
      <c r="L8" s="59"/>
      <c r="M8" s="59"/>
      <c r="N8" s="59"/>
      <c r="O8" s="59"/>
      <c r="Q8" s="59"/>
      <c r="R8" s="59"/>
      <c r="S8" s="59"/>
      <c r="T8" s="59"/>
      <c r="U8" s="59"/>
      <c r="V8" s="59"/>
      <c r="W8" s="59"/>
      <c r="X8" s="59"/>
    </row>
    <row r="9" spans="1:26" ht="24.95" customHeight="1" x14ac:dyDescent="0.25">
      <c r="B9" s="51" t="s">
        <v>172</v>
      </c>
      <c r="C9" s="45" t="s">
        <v>169</v>
      </c>
      <c r="D9" s="75" t="s">
        <v>170</v>
      </c>
      <c r="E9" s="75" t="s">
        <v>171</v>
      </c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</row>
    <row r="10" spans="1:26" ht="24.95" customHeight="1" x14ac:dyDescent="0.25">
      <c r="B10" s="60" t="s">
        <v>90</v>
      </c>
      <c r="C10" s="49">
        <v>1</v>
      </c>
      <c r="D10" s="77">
        <v>1</v>
      </c>
      <c r="E10" s="87" t="s">
        <v>153</v>
      </c>
    </row>
    <row r="11" spans="1:26" ht="24.95" customHeight="1" x14ac:dyDescent="0.25">
      <c r="B11" s="61" t="s">
        <v>126</v>
      </c>
      <c r="C11" s="49">
        <v>1</v>
      </c>
      <c r="D11" s="77">
        <v>2</v>
      </c>
      <c r="E11" s="87" t="s">
        <v>222</v>
      </c>
      <c r="F11" s="46"/>
      <c r="I11" s="59"/>
      <c r="J11" s="59"/>
      <c r="K11" s="59"/>
      <c r="L11" s="59"/>
      <c r="M11" s="59"/>
      <c r="N11" s="59"/>
      <c r="O11" s="59"/>
      <c r="Q11" s="59"/>
      <c r="R11" s="59"/>
      <c r="S11" s="59"/>
      <c r="T11" s="59"/>
      <c r="U11" s="59"/>
      <c r="V11" s="59"/>
      <c r="W11" s="59"/>
    </row>
    <row r="12" spans="1:26" ht="24.95" customHeight="1" x14ac:dyDescent="0.25">
      <c r="B12" s="62" t="s">
        <v>127</v>
      </c>
      <c r="C12" s="49">
        <v>1</v>
      </c>
      <c r="D12" s="77">
        <v>3</v>
      </c>
      <c r="E12" s="88" t="s">
        <v>144</v>
      </c>
      <c r="F12" s="46"/>
    </row>
    <row r="13" spans="1:26" ht="24.95" customHeight="1" x14ac:dyDescent="0.25">
      <c r="B13" s="62" t="s">
        <v>128</v>
      </c>
      <c r="C13" s="49">
        <v>1</v>
      </c>
      <c r="D13" s="77">
        <v>4</v>
      </c>
      <c r="E13" s="88"/>
      <c r="F13" s="46"/>
      <c r="H13" s="59"/>
    </row>
    <row r="14" spans="1:26" ht="24.95" customHeight="1" x14ac:dyDescent="0.25">
      <c r="B14" s="63" t="s">
        <v>243</v>
      </c>
      <c r="C14" s="49">
        <v>1</v>
      </c>
      <c r="D14" s="77">
        <v>5</v>
      </c>
      <c r="E14" s="89" t="s">
        <v>159</v>
      </c>
      <c r="F14" s="46"/>
    </row>
    <row r="15" spans="1:26" ht="24.95" customHeight="1" x14ac:dyDescent="0.25">
      <c r="B15" s="60" t="s">
        <v>244</v>
      </c>
      <c r="C15" s="49">
        <v>1</v>
      </c>
      <c r="D15" s="77">
        <v>6</v>
      </c>
      <c r="E15" s="90" t="s">
        <v>210</v>
      </c>
      <c r="L15" s="65"/>
      <c r="M15" s="59"/>
      <c r="N15" s="59"/>
      <c r="O15" s="64"/>
      <c r="P15" s="59"/>
      <c r="Q15" s="59"/>
      <c r="S15" s="92" t="s">
        <v>253</v>
      </c>
      <c r="T15" s="72"/>
      <c r="U15" s="59"/>
      <c r="V15" s="59"/>
      <c r="W15" s="59"/>
      <c r="X15" s="59"/>
      <c r="Y15" s="59"/>
      <c r="Z15" s="66"/>
    </row>
    <row r="16" spans="1:26" ht="24.95" customHeight="1" thickBot="1" x14ac:dyDescent="0.35">
      <c r="B16" s="61" t="s">
        <v>195</v>
      </c>
      <c r="C16" s="49">
        <v>1</v>
      </c>
      <c r="D16" s="77">
        <v>7</v>
      </c>
      <c r="E16" s="89" t="s">
        <v>147</v>
      </c>
      <c r="L16" s="67"/>
      <c r="M16" s="68"/>
      <c r="N16" s="68"/>
      <c r="O16" s="69"/>
      <c r="P16" s="68"/>
      <c r="Q16" s="68"/>
      <c r="R16" s="68"/>
      <c r="S16" s="70"/>
      <c r="T16" s="68"/>
      <c r="U16" s="68"/>
      <c r="V16" s="68"/>
      <c r="W16" s="68"/>
      <c r="X16" s="68"/>
      <c r="Y16" s="68"/>
      <c r="Z16" s="71"/>
    </row>
    <row r="17" spans="2:23" ht="24.95" customHeight="1" thickTop="1" x14ac:dyDescent="0.25">
      <c r="B17" s="62" t="s">
        <v>129</v>
      </c>
      <c r="C17" s="49">
        <v>1</v>
      </c>
      <c r="D17" s="77">
        <v>8</v>
      </c>
      <c r="E17" s="90" t="s">
        <v>148</v>
      </c>
      <c r="L17" s="4"/>
    </row>
    <row r="18" spans="2:23" ht="24.95" customHeight="1" x14ac:dyDescent="0.25">
      <c r="B18" s="62" t="s">
        <v>130</v>
      </c>
      <c r="C18" s="40">
        <v>2</v>
      </c>
      <c r="D18" s="78">
        <v>1</v>
      </c>
      <c r="E18" s="89" t="s">
        <v>164</v>
      </c>
    </row>
    <row r="19" spans="2:23" ht="24.95" customHeight="1" x14ac:dyDescent="0.25">
      <c r="B19" s="63" t="s">
        <v>221</v>
      </c>
      <c r="C19" s="40">
        <v>2</v>
      </c>
      <c r="D19" s="78">
        <v>2</v>
      </c>
      <c r="E19" s="90" t="s">
        <v>211</v>
      </c>
    </row>
    <row r="20" spans="2:23" ht="24.95" customHeight="1" x14ac:dyDescent="0.25">
      <c r="B20" s="60" t="s">
        <v>220</v>
      </c>
      <c r="C20" s="40">
        <v>2</v>
      </c>
      <c r="D20" s="78">
        <v>3</v>
      </c>
      <c r="E20" s="88" t="s">
        <v>127</v>
      </c>
    </row>
    <row r="21" spans="2:23" ht="24.95" customHeight="1" x14ac:dyDescent="0.25">
      <c r="B21" s="60" t="s">
        <v>196</v>
      </c>
      <c r="C21" s="40">
        <v>2</v>
      </c>
      <c r="D21" s="78">
        <v>4</v>
      </c>
      <c r="E21" s="88"/>
    </row>
    <row r="22" spans="2:23" ht="24.95" customHeight="1" x14ac:dyDescent="0.25">
      <c r="B22" s="61" t="s">
        <v>131</v>
      </c>
      <c r="C22" s="40">
        <v>2</v>
      </c>
      <c r="D22" s="78">
        <v>5</v>
      </c>
      <c r="E22" s="90" t="s">
        <v>128</v>
      </c>
    </row>
    <row r="23" spans="2:23" ht="24.95" customHeight="1" x14ac:dyDescent="0.25">
      <c r="B23" s="63" t="s">
        <v>97</v>
      </c>
      <c r="C23" s="40">
        <v>2</v>
      </c>
      <c r="D23" s="78">
        <v>6</v>
      </c>
      <c r="E23" s="88" t="s">
        <v>139</v>
      </c>
    </row>
    <row r="24" spans="2:23" ht="24.95" customHeight="1" x14ac:dyDescent="0.25">
      <c r="B24" s="60" t="s">
        <v>98</v>
      </c>
      <c r="C24" s="40">
        <v>2</v>
      </c>
      <c r="D24" s="78">
        <v>7</v>
      </c>
      <c r="E24" s="89" t="s">
        <v>165</v>
      </c>
    </row>
    <row r="25" spans="2:23" ht="24.95" customHeight="1" x14ac:dyDescent="0.25">
      <c r="B25" s="60" t="s">
        <v>99</v>
      </c>
      <c r="C25" s="40">
        <v>2</v>
      </c>
      <c r="D25" s="78">
        <v>8</v>
      </c>
      <c r="E25" s="90" t="s">
        <v>166</v>
      </c>
    </row>
    <row r="26" spans="2:23" ht="24.95" customHeight="1" x14ac:dyDescent="0.25">
      <c r="B26" s="61" t="s">
        <v>100</v>
      </c>
      <c r="C26" s="2">
        <v>3</v>
      </c>
      <c r="D26" s="79">
        <v>1</v>
      </c>
      <c r="E26" s="89" t="s">
        <v>149</v>
      </c>
    </row>
    <row r="27" spans="2:23" ht="24.95" customHeight="1" x14ac:dyDescent="0.25">
      <c r="B27" s="63" t="s">
        <v>168</v>
      </c>
      <c r="C27" s="2">
        <v>3</v>
      </c>
      <c r="D27" s="79">
        <v>2</v>
      </c>
      <c r="E27" s="87" t="s">
        <v>201</v>
      </c>
    </row>
    <row r="28" spans="2:23" ht="24.95" customHeight="1" x14ac:dyDescent="0.25">
      <c r="B28" s="60" t="s">
        <v>214</v>
      </c>
      <c r="C28" s="2">
        <v>3</v>
      </c>
      <c r="D28" s="79">
        <v>3</v>
      </c>
      <c r="E28" s="87" t="s">
        <v>202</v>
      </c>
    </row>
    <row r="29" spans="2:23" ht="24.95" customHeight="1" x14ac:dyDescent="0.25">
      <c r="B29" s="61" t="s">
        <v>146</v>
      </c>
      <c r="C29" s="2">
        <v>3</v>
      </c>
      <c r="D29" s="79">
        <v>4</v>
      </c>
      <c r="E29" s="87" t="s">
        <v>203</v>
      </c>
    </row>
    <row r="30" spans="2:23" ht="24.95" customHeight="1" x14ac:dyDescent="0.25">
      <c r="B30" s="63" t="s">
        <v>132</v>
      </c>
      <c r="C30" s="2">
        <v>3</v>
      </c>
      <c r="D30" s="79">
        <v>5</v>
      </c>
      <c r="E30" s="87" t="s">
        <v>204</v>
      </c>
    </row>
    <row r="31" spans="2:23" ht="24.95" customHeight="1" x14ac:dyDescent="0.25">
      <c r="B31" s="60" t="s">
        <v>197</v>
      </c>
      <c r="C31" s="2">
        <v>3</v>
      </c>
      <c r="D31" s="79">
        <v>6</v>
      </c>
      <c r="E31" s="90" t="s">
        <v>205</v>
      </c>
    </row>
    <row r="32" spans="2:23" ht="24.95" customHeight="1" x14ac:dyDescent="0.25">
      <c r="B32" s="60" t="s">
        <v>198</v>
      </c>
      <c r="C32" s="2">
        <v>3</v>
      </c>
      <c r="D32" s="79">
        <v>7</v>
      </c>
      <c r="E32" s="87" t="s">
        <v>212</v>
      </c>
      <c r="W32" s="48"/>
    </row>
    <row r="33" spans="2:5" ht="24.95" customHeight="1" x14ac:dyDescent="0.25">
      <c r="B33" s="61" t="s">
        <v>199</v>
      </c>
      <c r="C33" s="2">
        <v>3</v>
      </c>
      <c r="D33" s="79">
        <v>8</v>
      </c>
      <c r="E33" s="87" t="s">
        <v>213</v>
      </c>
    </row>
    <row r="34" spans="2:5" ht="24.95" customHeight="1" x14ac:dyDescent="0.25">
      <c r="B34" s="63" t="s">
        <v>137</v>
      </c>
      <c r="C34" s="41">
        <v>4</v>
      </c>
      <c r="D34" s="80">
        <v>1</v>
      </c>
      <c r="E34" s="89" t="s">
        <v>133</v>
      </c>
    </row>
    <row r="35" spans="2:5" ht="24.95" customHeight="1" x14ac:dyDescent="0.25">
      <c r="B35" s="61" t="s">
        <v>138</v>
      </c>
      <c r="C35" s="41">
        <v>4</v>
      </c>
      <c r="D35" s="80">
        <v>2</v>
      </c>
      <c r="E35" s="87" t="s">
        <v>134</v>
      </c>
    </row>
    <row r="36" spans="2:5" ht="24.95" customHeight="1" x14ac:dyDescent="0.25">
      <c r="B36" s="62" t="s">
        <v>139</v>
      </c>
      <c r="C36" s="41">
        <v>4</v>
      </c>
      <c r="D36" s="80">
        <v>3</v>
      </c>
      <c r="E36" s="87" t="s">
        <v>135</v>
      </c>
    </row>
    <row r="37" spans="2:5" ht="24.95" customHeight="1" x14ac:dyDescent="0.25">
      <c r="B37" s="63" t="s">
        <v>140</v>
      </c>
      <c r="C37" s="41">
        <v>4</v>
      </c>
      <c r="D37" s="80">
        <v>4</v>
      </c>
      <c r="E37" s="87" t="s">
        <v>136</v>
      </c>
    </row>
    <row r="38" spans="2:5" ht="24.95" customHeight="1" x14ac:dyDescent="0.25">
      <c r="B38" s="61" t="s">
        <v>200</v>
      </c>
      <c r="C38" s="41">
        <v>4</v>
      </c>
      <c r="D38" s="80">
        <v>5</v>
      </c>
      <c r="E38" s="87" t="s">
        <v>160</v>
      </c>
    </row>
    <row r="39" spans="2:5" ht="24.95" customHeight="1" x14ac:dyDescent="0.25">
      <c r="B39" s="63" t="s">
        <v>141</v>
      </c>
      <c r="C39" s="41">
        <v>4</v>
      </c>
      <c r="D39" s="80">
        <v>6</v>
      </c>
      <c r="E39" s="87" t="s">
        <v>161</v>
      </c>
    </row>
    <row r="40" spans="2:5" ht="24.95" customHeight="1" x14ac:dyDescent="0.25">
      <c r="B40" s="61" t="s">
        <v>215</v>
      </c>
      <c r="C40" s="41">
        <v>4</v>
      </c>
      <c r="D40" s="80">
        <v>7</v>
      </c>
      <c r="E40" s="87" t="s">
        <v>162</v>
      </c>
    </row>
    <row r="41" spans="2:5" ht="24.95" customHeight="1" x14ac:dyDescent="0.25">
      <c r="B41" s="63" t="s">
        <v>142</v>
      </c>
      <c r="C41" s="41">
        <v>4</v>
      </c>
      <c r="D41" s="80">
        <v>8</v>
      </c>
      <c r="E41" s="90" t="s">
        <v>163</v>
      </c>
    </row>
    <row r="42" spans="2:5" ht="24.95" customHeight="1" x14ac:dyDescent="0.25">
      <c r="B42" s="61" t="s">
        <v>143</v>
      </c>
      <c r="C42" s="42">
        <v>5</v>
      </c>
      <c r="D42" s="81">
        <v>1</v>
      </c>
      <c r="E42" s="89" t="s">
        <v>97</v>
      </c>
    </row>
    <row r="43" spans="2:5" ht="24.95" customHeight="1" x14ac:dyDescent="0.25">
      <c r="B43" s="62" t="s">
        <v>144</v>
      </c>
      <c r="C43" s="42">
        <v>5</v>
      </c>
      <c r="D43" s="81">
        <v>2</v>
      </c>
      <c r="E43" s="87" t="s">
        <v>98</v>
      </c>
    </row>
    <row r="44" spans="2:5" ht="24.95" customHeight="1" x14ac:dyDescent="0.25">
      <c r="B44" s="63" t="s">
        <v>145</v>
      </c>
      <c r="C44" s="42">
        <v>5</v>
      </c>
      <c r="D44" s="81">
        <v>3</v>
      </c>
      <c r="E44" s="87" t="s">
        <v>99</v>
      </c>
    </row>
    <row r="45" spans="2:5" ht="24.95" customHeight="1" x14ac:dyDescent="0.25">
      <c r="B45" s="61" t="s">
        <v>173</v>
      </c>
      <c r="C45" s="42">
        <v>5</v>
      </c>
      <c r="D45" s="81">
        <v>4</v>
      </c>
      <c r="E45" s="90" t="s">
        <v>100</v>
      </c>
    </row>
    <row r="46" spans="2:5" ht="24.95" customHeight="1" x14ac:dyDescent="0.25">
      <c r="B46" s="62" t="s">
        <v>146</v>
      </c>
      <c r="C46" s="42">
        <v>5</v>
      </c>
      <c r="D46" s="81">
        <v>5</v>
      </c>
      <c r="E46" s="89" t="s">
        <v>221</v>
      </c>
    </row>
    <row r="47" spans="2:5" ht="24.95" customHeight="1" x14ac:dyDescent="0.25">
      <c r="B47" s="63" t="s">
        <v>147</v>
      </c>
      <c r="C47" s="42">
        <v>5</v>
      </c>
      <c r="D47" s="81">
        <v>6</v>
      </c>
      <c r="E47" s="87" t="s">
        <v>220</v>
      </c>
    </row>
    <row r="48" spans="2:5" ht="24.95" customHeight="1" x14ac:dyDescent="0.25">
      <c r="B48" s="61" t="s">
        <v>148</v>
      </c>
      <c r="C48" s="42">
        <v>5</v>
      </c>
      <c r="D48" s="81">
        <v>7</v>
      </c>
      <c r="E48" s="87" t="s">
        <v>196</v>
      </c>
    </row>
    <row r="49" spans="2:5" ht="24.95" customHeight="1" x14ac:dyDescent="0.25">
      <c r="B49" s="63" t="s">
        <v>149</v>
      </c>
      <c r="C49" s="42">
        <v>5</v>
      </c>
      <c r="D49" s="81">
        <v>8</v>
      </c>
      <c r="E49" s="90" t="s">
        <v>131</v>
      </c>
    </row>
    <row r="50" spans="2:5" ht="24.95" customHeight="1" x14ac:dyDescent="0.25">
      <c r="B50" s="60" t="s">
        <v>201</v>
      </c>
      <c r="C50" s="44">
        <v>6</v>
      </c>
      <c r="D50" s="82">
        <v>1</v>
      </c>
      <c r="E50" s="87" t="s">
        <v>150</v>
      </c>
    </row>
    <row r="51" spans="2:5" ht="24.95" customHeight="1" x14ac:dyDescent="0.25">
      <c r="B51" s="60" t="s">
        <v>202</v>
      </c>
      <c r="C51" s="44">
        <v>6</v>
      </c>
      <c r="D51" s="82">
        <v>2</v>
      </c>
      <c r="E51" s="87" t="s">
        <v>151</v>
      </c>
    </row>
    <row r="52" spans="2:5" ht="24.95" customHeight="1" x14ac:dyDescent="0.25">
      <c r="B52" s="60" t="s">
        <v>203</v>
      </c>
      <c r="C52" s="44">
        <v>6</v>
      </c>
      <c r="D52" s="82">
        <v>3</v>
      </c>
      <c r="E52" s="89" t="s">
        <v>132</v>
      </c>
    </row>
    <row r="53" spans="2:5" ht="24.95" customHeight="1" x14ac:dyDescent="0.25">
      <c r="B53" s="60" t="s">
        <v>204</v>
      </c>
      <c r="C53" s="44">
        <v>6</v>
      </c>
      <c r="D53" s="82">
        <v>4</v>
      </c>
      <c r="E53" s="87" t="s">
        <v>197</v>
      </c>
    </row>
    <row r="54" spans="2:5" ht="24.95" customHeight="1" x14ac:dyDescent="0.25">
      <c r="B54" s="61" t="s">
        <v>205</v>
      </c>
      <c r="C54" s="44">
        <v>6</v>
      </c>
      <c r="D54" s="82">
        <v>5</v>
      </c>
      <c r="E54" s="87" t="s">
        <v>198</v>
      </c>
    </row>
    <row r="55" spans="2:5" ht="24.95" customHeight="1" x14ac:dyDescent="0.25">
      <c r="B55" s="63" t="s">
        <v>150</v>
      </c>
      <c r="C55" s="44">
        <v>6</v>
      </c>
      <c r="D55" s="82">
        <v>6</v>
      </c>
      <c r="E55" s="90" t="s">
        <v>199</v>
      </c>
    </row>
    <row r="56" spans="2:5" ht="24.95" customHeight="1" x14ac:dyDescent="0.25">
      <c r="B56" s="61" t="s">
        <v>151</v>
      </c>
      <c r="C56" s="44">
        <v>6</v>
      </c>
      <c r="D56" s="82">
        <v>7</v>
      </c>
      <c r="E56" s="87" t="s">
        <v>140</v>
      </c>
    </row>
    <row r="57" spans="2:5" ht="24.95" customHeight="1" x14ac:dyDescent="0.25">
      <c r="B57" s="63" t="s">
        <v>152</v>
      </c>
      <c r="C57" s="44">
        <v>6</v>
      </c>
      <c r="D57" s="82">
        <v>8</v>
      </c>
      <c r="E57" s="90" t="s">
        <v>200</v>
      </c>
    </row>
    <row r="58" spans="2:5" ht="24.95" customHeight="1" x14ac:dyDescent="0.25">
      <c r="B58" s="61" t="s">
        <v>242</v>
      </c>
      <c r="C58" s="43">
        <v>7</v>
      </c>
      <c r="D58" s="83">
        <v>1</v>
      </c>
      <c r="E58" s="89" t="s">
        <v>90</v>
      </c>
    </row>
    <row r="59" spans="2:5" ht="24.95" customHeight="1" x14ac:dyDescent="0.25">
      <c r="B59" s="63" t="s">
        <v>153</v>
      </c>
      <c r="C59" s="43">
        <v>7</v>
      </c>
      <c r="D59" s="83">
        <v>2</v>
      </c>
      <c r="E59" s="90" t="s">
        <v>126</v>
      </c>
    </row>
    <row r="60" spans="2:5" ht="24.95" customHeight="1" x14ac:dyDescent="0.25">
      <c r="B60" s="61" t="s">
        <v>222</v>
      </c>
      <c r="C60" s="43">
        <v>7</v>
      </c>
      <c r="D60" s="83">
        <v>3</v>
      </c>
      <c r="E60" s="89" t="s">
        <v>158</v>
      </c>
    </row>
    <row r="61" spans="2:5" ht="24.95" customHeight="1" x14ac:dyDescent="0.25">
      <c r="B61" s="63" t="s">
        <v>154</v>
      </c>
      <c r="C61" s="43">
        <v>7</v>
      </c>
      <c r="D61" s="83">
        <v>4</v>
      </c>
      <c r="E61" s="87" t="s">
        <v>256</v>
      </c>
    </row>
    <row r="62" spans="2:5" ht="24.95" customHeight="1" x14ac:dyDescent="0.25">
      <c r="B62" s="61" t="s">
        <v>155</v>
      </c>
      <c r="C62" s="43">
        <v>7</v>
      </c>
      <c r="D62" s="83">
        <v>5</v>
      </c>
      <c r="E62" s="88" t="s">
        <v>156</v>
      </c>
    </row>
    <row r="63" spans="2:5" ht="24.95" customHeight="1" x14ac:dyDescent="0.25">
      <c r="B63" s="62" t="s">
        <v>156</v>
      </c>
      <c r="C63" s="43">
        <v>7</v>
      </c>
      <c r="D63" s="83">
        <v>6</v>
      </c>
      <c r="E63" s="89" t="s">
        <v>168</v>
      </c>
    </row>
    <row r="64" spans="2:5" ht="24.95" customHeight="1" x14ac:dyDescent="0.25">
      <c r="B64" s="63" t="s">
        <v>157</v>
      </c>
      <c r="C64" s="43">
        <v>7</v>
      </c>
      <c r="D64" s="83">
        <v>7</v>
      </c>
      <c r="E64" s="87" t="s">
        <v>214</v>
      </c>
    </row>
    <row r="65" spans="2:5" ht="24.95" customHeight="1" x14ac:dyDescent="0.25">
      <c r="B65" s="60" t="s">
        <v>206</v>
      </c>
      <c r="C65" s="43">
        <v>7</v>
      </c>
      <c r="D65" s="83">
        <v>8</v>
      </c>
      <c r="E65" s="90" t="s">
        <v>146</v>
      </c>
    </row>
    <row r="66" spans="2:5" ht="24.95" customHeight="1" x14ac:dyDescent="0.25">
      <c r="B66" s="60" t="s">
        <v>207</v>
      </c>
      <c r="C66" s="47">
        <v>8</v>
      </c>
      <c r="D66" s="84">
        <v>1</v>
      </c>
      <c r="E66" s="89" t="s">
        <v>243</v>
      </c>
    </row>
    <row r="67" spans="2:5" ht="24.95" customHeight="1" x14ac:dyDescent="0.25">
      <c r="B67" s="60" t="s">
        <v>208</v>
      </c>
      <c r="C67" s="47">
        <v>8</v>
      </c>
      <c r="D67" s="84">
        <v>2</v>
      </c>
      <c r="E67" s="87" t="s">
        <v>244</v>
      </c>
    </row>
    <row r="68" spans="2:5" ht="24.95" customHeight="1" x14ac:dyDescent="0.25">
      <c r="B68" s="61" t="s">
        <v>209</v>
      </c>
      <c r="C68" s="47">
        <v>8</v>
      </c>
      <c r="D68" s="84">
        <v>3</v>
      </c>
      <c r="E68" s="90" t="s">
        <v>195</v>
      </c>
    </row>
    <row r="69" spans="2:5" ht="24.95" customHeight="1" x14ac:dyDescent="0.25">
      <c r="B69" s="63" t="s">
        <v>158</v>
      </c>
      <c r="C69" s="47">
        <v>8</v>
      </c>
      <c r="D69" s="84">
        <v>4</v>
      </c>
      <c r="E69" s="89" t="s">
        <v>157</v>
      </c>
    </row>
    <row r="70" spans="2:5" ht="24.95" customHeight="1" x14ac:dyDescent="0.25">
      <c r="B70" s="61" t="s">
        <v>255</v>
      </c>
      <c r="C70" s="47">
        <v>8</v>
      </c>
      <c r="D70" s="84">
        <v>5</v>
      </c>
      <c r="E70" s="87" t="s">
        <v>206</v>
      </c>
    </row>
    <row r="71" spans="2:5" ht="24.95" customHeight="1" x14ac:dyDescent="0.25">
      <c r="B71" s="63" t="s">
        <v>159</v>
      </c>
      <c r="C71" s="47">
        <v>8</v>
      </c>
      <c r="D71" s="84">
        <v>6</v>
      </c>
      <c r="E71" s="87" t="s">
        <v>207</v>
      </c>
    </row>
    <row r="72" spans="2:5" ht="24.95" customHeight="1" x14ac:dyDescent="0.25">
      <c r="B72" s="61" t="s">
        <v>210</v>
      </c>
      <c r="C72" s="47">
        <v>8</v>
      </c>
      <c r="D72" s="84">
        <v>7</v>
      </c>
      <c r="E72" s="87" t="s">
        <v>208</v>
      </c>
    </row>
    <row r="73" spans="2:5" ht="24.95" customHeight="1" x14ac:dyDescent="0.25">
      <c r="B73" s="63" t="s">
        <v>133</v>
      </c>
      <c r="C73" s="47">
        <v>8</v>
      </c>
      <c r="D73" s="84">
        <v>8</v>
      </c>
      <c r="E73" s="90" t="s">
        <v>209</v>
      </c>
    </row>
    <row r="74" spans="2:5" ht="24.95" customHeight="1" x14ac:dyDescent="0.25">
      <c r="B74" s="60" t="s">
        <v>134</v>
      </c>
      <c r="C74" s="57">
        <v>9</v>
      </c>
      <c r="D74" s="85">
        <v>1</v>
      </c>
      <c r="E74" s="87" t="s">
        <v>152</v>
      </c>
    </row>
    <row r="75" spans="2:5" ht="24.95" customHeight="1" x14ac:dyDescent="0.25">
      <c r="B75" s="60" t="s">
        <v>135</v>
      </c>
      <c r="C75" s="57">
        <v>9</v>
      </c>
      <c r="D75" s="85">
        <v>2</v>
      </c>
      <c r="E75" s="87" t="s">
        <v>242</v>
      </c>
    </row>
    <row r="76" spans="2:5" ht="24.95" customHeight="1" x14ac:dyDescent="0.25">
      <c r="B76" s="60" t="s">
        <v>136</v>
      </c>
      <c r="C76" s="57">
        <v>9</v>
      </c>
      <c r="D76" s="85">
        <v>3</v>
      </c>
      <c r="E76" s="88" t="s">
        <v>254</v>
      </c>
    </row>
    <row r="77" spans="2:5" ht="24.95" customHeight="1" x14ac:dyDescent="0.25">
      <c r="B77" s="60" t="s">
        <v>160</v>
      </c>
      <c r="C77" s="57">
        <v>9</v>
      </c>
      <c r="D77" s="85">
        <v>4</v>
      </c>
      <c r="E77" s="91"/>
    </row>
    <row r="78" spans="2:5" ht="24.95" customHeight="1" x14ac:dyDescent="0.25">
      <c r="B78" s="60" t="s">
        <v>161</v>
      </c>
      <c r="C78" s="57">
        <v>9</v>
      </c>
      <c r="D78" s="85">
        <v>5</v>
      </c>
      <c r="E78" s="89" t="s">
        <v>142</v>
      </c>
    </row>
    <row r="79" spans="2:5" ht="24.95" customHeight="1" x14ac:dyDescent="0.25">
      <c r="B79" s="60" t="s">
        <v>162</v>
      </c>
      <c r="C79" s="57">
        <v>9</v>
      </c>
      <c r="D79" s="85">
        <v>6</v>
      </c>
      <c r="E79" s="90" t="s">
        <v>143</v>
      </c>
    </row>
    <row r="80" spans="2:5" ht="24.95" customHeight="1" x14ac:dyDescent="0.25">
      <c r="B80" s="61" t="s">
        <v>163</v>
      </c>
      <c r="C80" s="57">
        <v>9</v>
      </c>
      <c r="D80" s="85">
        <v>7</v>
      </c>
      <c r="E80" s="89" t="s">
        <v>145</v>
      </c>
    </row>
    <row r="81" spans="2:5" ht="24.95" customHeight="1" x14ac:dyDescent="0.25">
      <c r="B81" s="63" t="s">
        <v>164</v>
      </c>
      <c r="C81" s="57">
        <v>9</v>
      </c>
      <c r="D81" s="85">
        <v>8</v>
      </c>
      <c r="E81" s="90" t="s">
        <v>173</v>
      </c>
    </row>
    <row r="82" spans="2:5" ht="24.95" customHeight="1" x14ac:dyDescent="0.25">
      <c r="B82" s="61" t="s">
        <v>211</v>
      </c>
      <c r="C82" s="58">
        <v>10</v>
      </c>
      <c r="D82" s="86">
        <v>1</v>
      </c>
      <c r="E82" s="89" t="s">
        <v>154</v>
      </c>
    </row>
    <row r="83" spans="2:5" ht="24.95" customHeight="1" x14ac:dyDescent="0.25">
      <c r="B83" s="63" t="s">
        <v>165</v>
      </c>
      <c r="C83" s="58">
        <v>10</v>
      </c>
      <c r="D83" s="86">
        <v>2</v>
      </c>
      <c r="E83" s="90" t="s">
        <v>155</v>
      </c>
    </row>
    <row r="84" spans="2:5" ht="24.95" customHeight="1" x14ac:dyDescent="0.25">
      <c r="B84" s="61" t="s">
        <v>166</v>
      </c>
      <c r="C84" s="58">
        <v>10</v>
      </c>
      <c r="D84" s="86">
        <v>3</v>
      </c>
      <c r="E84" s="89" t="s">
        <v>141</v>
      </c>
    </row>
    <row r="85" spans="2:5" ht="24.95" customHeight="1" x14ac:dyDescent="0.25">
      <c r="B85" s="63" t="s">
        <v>212</v>
      </c>
      <c r="C85" s="58">
        <v>10</v>
      </c>
      <c r="D85" s="86">
        <v>4</v>
      </c>
      <c r="E85" s="90" t="s">
        <v>215</v>
      </c>
    </row>
    <row r="86" spans="2:5" ht="24.95" customHeight="1" x14ac:dyDescent="0.25">
      <c r="B86" s="61" t="s">
        <v>213</v>
      </c>
      <c r="C86" s="58">
        <v>10</v>
      </c>
      <c r="D86" s="86">
        <v>5</v>
      </c>
      <c r="E86" s="89" t="s">
        <v>137</v>
      </c>
    </row>
    <row r="87" spans="2:5" ht="24.95" customHeight="1" x14ac:dyDescent="0.25">
      <c r="B87" s="62" t="s">
        <v>254</v>
      </c>
      <c r="C87" s="58">
        <v>10</v>
      </c>
      <c r="D87" s="86">
        <v>6</v>
      </c>
      <c r="E87" s="90" t="s">
        <v>138</v>
      </c>
    </row>
    <row r="88" spans="2:5" ht="24.95" customHeight="1" x14ac:dyDescent="0.25">
      <c r="B88" s="56" t="s">
        <v>167</v>
      </c>
      <c r="C88" s="58">
        <v>10</v>
      </c>
      <c r="D88" s="86">
        <v>7</v>
      </c>
      <c r="E88" s="88" t="s">
        <v>129</v>
      </c>
    </row>
    <row r="89" spans="2:5" ht="24.95" customHeight="1" x14ac:dyDescent="0.25">
      <c r="C89" s="58">
        <v>10</v>
      </c>
      <c r="D89" s="86">
        <v>8</v>
      </c>
      <c r="E89" s="88" t="s">
        <v>130</v>
      </c>
    </row>
  </sheetData>
  <phoneticPr fontId="5" type="noConversion"/>
  <conditionalFormatting sqref="B19:B22 E46:E49">
    <cfRule type="expression" dxfId="3" priority="129">
      <formula>COUNTIF(K:K,B19)=1</formula>
    </cfRule>
  </conditionalFormatting>
  <conditionalFormatting sqref="E42:E49 W25:W26">
    <cfRule type="expression" dxfId="2" priority="127">
      <formula>COUNTIF(G:G,E25)=1</formula>
    </cfRule>
  </conditionalFormatting>
  <conditionalFormatting sqref="E52:E55 W25:W34">
    <cfRule type="expression" dxfId="1" priority="119">
      <formula>COUNTIF(G:G,E25)=1</formula>
    </cfRule>
  </conditionalFormatting>
  <conditionalFormatting sqref="B2:B1048576 E10:E89">
    <cfRule type="expression" dxfId="0" priority="140">
      <formula>COUNTIF(E:E,B2)=1</formula>
    </cfRule>
  </conditionalFormatting>
  <pageMargins left="3.937007874015748E-2" right="3.937007874015748E-2" top="0.19685039370078741" bottom="0" header="0" footer="0"/>
  <pageSetup paperSize="9" scale="33" orientation="portrait" r:id="rId1"/>
  <headerFooter alignWithMargins="0">
    <oddFooter>&amp;R&amp;P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5"/>
  <sheetViews>
    <sheetView workbookViewId="0">
      <selection activeCell="B1" sqref="B1:B1048576"/>
    </sheetView>
  </sheetViews>
  <sheetFormatPr defaultRowHeight="15.75" x14ac:dyDescent="0.25"/>
  <cols>
    <col min="1" max="1" width="3.85546875" customWidth="1"/>
    <col min="2" max="2" width="24" style="50" bestFit="1" customWidth="1"/>
    <col min="3" max="3" width="2" customWidth="1"/>
    <col min="8" max="8" width="11.28515625" bestFit="1" customWidth="1"/>
    <col min="9" max="9" width="16.85546875" bestFit="1" customWidth="1"/>
    <col min="10" max="10" width="10.42578125" style="6" customWidth="1"/>
  </cols>
  <sheetData>
    <row r="1" spans="1:10" x14ac:dyDescent="0.25">
      <c r="J1"/>
    </row>
    <row r="2" spans="1:10" x14ac:dyDescent="0.25">
      <c r="A2" t="s">
        <v>246</v>
      </c>
      <c r="J2"/>
    </row>
    <row r="3" spans="1:10" x14ac:dyDescent="0.25">
      <c r="J3"/>
    </row>
    <row r="4" spans="1:10" x14ac:dyDescent="0.25">
      <c r="J4"/>
    </row>
    <row r="5" spans="1:10" x14ac:dyDescent="0.25">
      <c r="J5"/>
    </row>
    <row r="6" spans="1:10" x14ac:dyDescent="0.25">
      <c r="J6"/>
    </row>
    <row r="7" spans="1:10" x14ac:dyDescent="0.25">
      <c r="J7"/>
    </row>
    <row r="8" spans="1:10" x14ac:dyDescent="0.25">
      <c r="J8"/>
    </row>
    <row r="9" spans="1:10" x14ac:dyDescent="0.25">
      <c r="B9" s="51" t="s">
        <v>172</v>
      </c>
      <c r="J9"/>
    </row>
    <row r="10" spans="1:10" x14ac:dyDescent="0.25">
      <c r="A10">
        <v>1</v>
      </c>
      <c r="B10" s="60" t="str">
        <f>H10&amp;" "&amp;I10</f>
        <v>Graham Austin</v>
      </c>
      <c r="E10" s="3"/>
      <c r="H10" s="14" t="s">
        <v>14</v>
      </c>
      <c r="I10" s="14" t="s">
        <v>15</v>
      </c>
      <c r="J10" s="16">
        <v>2</v>
      </c>
    </row>
    <row r="11" spans="1:10" x14ac:dyDescent="0.25">
      <c r="A11">
        <v>2</v>
      </c>
      <c r="B11" s="61" t="str">
        <f t="shared" ref="B11:B70" si="0">H11&amp;" "&amp;I11</f>
        <v>Helena Austin</v>
      </c>
      <c r="E11" s="3"/>
      <c r="H11" s="14" t="s">
        <v>93</v>
      </c>
      <c r="I11" s="14" t="s">
        <v>15</v>
      </c>
      <c r="J11" s="16"/>
    </row>
    <row r="12" spans="1:10" x14ac:dyDescent="0.25">
      <c r="A12">
        <v>3</v>
      </c>
      <c r="B12" s="62" t="str">
        <f t="shared" si="0"/>
        <v>George Baines</v>
      </c>
      <c r="H12" s="14" t="s">
        <v>18</v>
      </c>
      <c r="I12" s="14" t="s">
        <v>19</v>
      </c>
      <c r="J12" s="16">
        <v>1</v>
      </c>
    </row>
    <row r="13" spans="1:10" x14ac:dyDescent="0.25">
      <c r="A13">
        <v>4</v>
      </c>
      <c r="B13" s="62" t="str">
        <f t="shared" si="0"/>
        <v>Stuart Berrisford</v>
      </c>
      <c r="H13" s="14" t="s">
        <v>20</v>
      </c>
      <c r="I13" s="14" t="s">
        <v>21</v>
      </c>
      <c r="J13" s="16">
        <v>1</v>
      </c>
    </row>
    <row r="14" spans="1:10" x14ac:dyDescent="0.25">
      <c r="A14">
        <v>6</v>
      </c>
      <c r="B14" s="63" t="str">
        <f t="shared" si="0"/>
        <v>Bethany Broomfield-Jones</v>
      </c>
      <c r="H14" s="14" t="s">
        <v>24</v>
      </c>
      <c r="I14" s="55" t="s">
        <v>25</v>
      </c>
      <c r="J14" s="16">
        <v>3</v>
      </c>
    </row>
    <row r="15" spans="1:10" x14ac:dyDescent="0.25">
      <c r="A15">
        <v>7</v>
      </c>
      <c r="B15" s="60" t="str">
        <f t="shared" si="0"/>
        <v>Louise Broomfield-Jones</v>
      </c>
      <c r="H15" s="54" t="s">
        <v>120</v>
      </c>
      <c r="I15" s="55" t="s">
        <v>25</v>
      </c>
      <c r="J15" s="16"/>
    </row>
    <row r="16" spans="1:10" x14ac:dyDescent="0.25">
      <c r="A16">
        <v>8</v>
      </c>
      <c r="B16" s="61" t="str">
        <f t="shared" si="0"/>
        <v>Richard Jones</v>
      </c>
      <c r="H16" s="54" t="s">
        <v>47</v>
      </c>
      <c r="I16" s="54" t="s">
        <v>194</v>
      </c>
      <c r="J16" s="16"/>
    </row>
    <row r="17" spans="1:10" x14ac:dyDescent="0.25">
      <c r="A17">
        <v>9</v>
      </c>
      <c r="B17" s="62" t="str">
        <f t="shared" si="0"/>
        <v>Ollie Burton</v>
      </c>
      <c r="H17" s="14" t="s">
        <v>28</v>
      </c>
      <c r="I17" s="14" t="s">
        <v>29</v>
      </c>
      <c r="J17" s="16">
        <v>1</v>
      </c>
    </row>
    <row r="18" spans="1:10" x14ac:dyDescent="0.25">
      <c r="A18">
        <v>10</v>
      </c>
      <c r="B18" s="62" t="str">
        <f t="shared" si="0"/>
        <v>Jen Caldwell</v>
      </c>
      <c r="H18" s="14" t="s">
        <v>32</v>
      </c>
      <c r="I18" s="14" t="s">
        <v>33</v>
      </c>
      <c r="J18" s="16">
        <v>1</v>
      </c>
    </row>
    <row r="19" spans="1:10" x14ac:dyDescent="0.25">
      <c r="A19">
        <v>11</v>
      </c>
      <c r="B19" s="63" t="str">
        <f t="shared" si="0"/>
        <v>Alan Carter</v>
      </c>
      <c r="H19" s="14" t="s">
        <v>35</v>
      </c>
      <c r="I19" s="14" t="s">
        <v>36</v>
      </c>
      <c r="J19" s="16">
        <v>4</v>
      </c>
    </row>
    <row r="20" spans="1:10" x14ac:dyDescent="0.25">
      <c r="A20">
        <v>12</v>
      </c>
      <c r="B20" s="60" t="str">
        <f t="shared" si="0"/>
        <v>Sharon Carter</v>
      </c>
      <c r="H20" s="54" t="s">
        <v>193</v>
      </c>
      <c r="I20" s="14" t="s">
        <v>36</v>
      </c>
      <c r="J20" s="16"/>
    </row>
    <row r="21" spans="1:10" x14ac:dyDescent="0.25">
      <c r="A21">
        <v>13</v>
      </c>
      <c r="B21" s="60" t="str">
        <f t="shared" si="0"/>
        <v>Kayleigh Carter</v>
      </c>
      <c r="H21" s="55" t="s">
        <v>217</v>
      </c>
      <c r="I21" s="14" t="s">
        <v>36</v>
      </c>
      <c r="J21" s="16"/>
    </row>
    <row r="22" spans="1:10" x14ac:dyDescent="0.25">
      <c r="A22">
        <v>14</v>
      </c>
      <c r="B22" s="61" t="str">
        <f t="shared" si="0"/>
        <v>Heather Carter</v>
      </c>
      <c r="H22" s="55" t="s">
        <v>218</v>
      </c>
      <c r="I22" s="14" t="s">
        <v>36</v>
      </c>
      <c r="J22" s="16"/>
    </row>
    <row r="23" spans="1:10" x14ac:dyDescent="0.25">
      <c r="A23">
        <v>15</v>
      </c>
      <c r="B23" s="63" t="str">
        <f t="shared" si="0"/>
        <v>Bernie Cawson</v>
      </c>
      <c r="H23" s="14" t="s">
        <v>37</v>
      </c>
      <c r="I23" s="14" t="s">
        <v>38</v>
      </c>
      <c r="J23" s="16">
        <v>4</v>
      </c>
    </row>
    <row r="24" spans="1:10" x14ac:dyDescent="0.25">
      <c r="A24">
        <v>16</v>
      </c>
      <c r="B24" s="60" t="str">
        <f t="shared" si="0"/>
        <v>Suzie Cawson</v>
      </c>
      <c r="H24" s="14" t="s">
        <v>101</v>
      </c>
      <c r="I24" s="14" t="s">
        <v>38</v>
      </c>
      <c r="J24" s="16"/>
    </row>
    <row r="25" spans="1:10" x14ac:dyDescent="0.25">
      <c r="A25">
        <v>17</v>
      </c>
      <c r="B25" s="60" t="str">
        <f t="shared" si="0"/>
        <v>Shirley Day</v>
      </c>
      <c r="H25" s="14" t="s">
        <v>102</v>
      </c>
      <c r="I25" s="14" t="s">
        <v>48</v>
      </c>
      <c r="J25" s="16"/>
    </row>
    <row r="26" spans="1:10" x14ac:dyDescent="0.25">
      <c r="A26">
        <v>18</v>
      </c>
      <c r="B26" s="61" t="str">
        <f t="shared" si="0"/>
        <v>Emma Lovell</v>
      </c>
      <c r="H26" s="14" t="s">
        <v>30</v>
      </c>
      <c r="I26" s="14" t="s">
        <v>103</v>
      </c>
      <c r="J26" s="16"/>
    </row>
    <row r="27" spans="1:10" x14ac:dyDescent="0.25">
      <c r="A27">
        <v>19</v>
      </c>
      <c r="B27" s="63" t="str">
        <f t="shared" si="0"/>
        <v>Frank Chambers</v>
      </c>
      <c r="H27" s="14" t="s">
        <v>39</v>
      </c>
      <c r="I27" s="14" t="s">
        <v>40</v>
      </c>
      <c r="J27" s="16">
        <v>3</v>
      </c>
    </row>
    <row r="28" spans="1:10" x14ac:dyDescent="0.25">
      <c r="A28">
        <v>20</v>
      </c>
      <c r="B28" s="60" t="str">
        <f t="shared" si="0"/>
        <v>Gwyneth Chambers</v>
      </c>
      <c r="H28" s="55" t="s">
        <v>219</v>
      </c>
      <c r="I28" s="14" t="s">
        <v>40</v>
      </c>
      <c r="J28" s="16"/>
    </row>
    <row r="29" spans="1:10" x14ac:dyDescent="0.25">
      <c r="A29">
        <v>21</v>
      </c>
      <c r="B29" s="61" t="str">
        <f t="shared" si="0"/>
        <v>Chris Heard</v>
      </c>
      <c r="H29" s="55" t="s">
        <v>59</v>
      </c>
      <c r="I29" s="55" t="s">
        <v>60</v>
      </c>
      <c r="J29" s="16"/>
    </row>
    <row r="30" spans="1:10" x14ac:dyDescent="0.25">
      <c r="A30">
        <v>22</v>
      </c>
      <c r="B30" s="63" t="str">
        <f t="shared" si="0"/>
        <v>John Cleary</v>
      </c>
      <c r="H30" s="14" t="s">
        <v>41</v>
      </c>
      <c r="I30" s="14" t="s">
        <v>42</v>
      </c>
      <c r="J30" s="16">
        <v>4</v>
      </c>
    </row>
    <row r="31" spans="1:10" x14ac:dyDescent="0.25">
      <c r="A31">
        <v>23</v>
      </c>
      <c r="B31" s="60" t="str">
        <f t="shared" si="0"/>
        <v>Jill Syms</v>
      </c>
      <c r="H31" s="14" t="s">
        <v>177</v>
      </c>
      <c r="I31" s="14" t="s">
        <v>178</v>
      </c>
      <c r="J31" s="16"/>
    </row>
    <row r="32" spans="1:10" x14ac:dyDescent="0.25">
      <c r="A32">
        <v>24</v>
      </c>
      <c r="B32" s="60" t="str">
        <f t="shared" si="0"/>
        <v>Steve Carpenter</v>
      </c>
      <c r="H32" s="14" t="s">
        <v>179</v>
      </c>
      <c r="I32" s="14" t="s">
        <v>180</v>
      </c>
      <c r="J32" s="16"/>
    </row>
    <row r="33" spans="1:10" x14ac:dyDescent="0.25">
      <c r="A33">
        <v>25</v>
      </c>
      <c r="B33" s="61" t="str">
        <f t="shared" si="0"/>
        <v>Sue Carpenter</v>
      </c>
      <c r="H33" s="14" t="s">
        <v>2</v>
      </c>
      <c r="I33" s="14" t="s">
        <v>180</v>
      </c>
      <c r="J33" s="16"/>
    </row>
    <row r="34" spans="1:10" x14ac:dyDescent="0.25">
      <c r="A34">
        <v>26</v>
      </c>
      <c r="B34" s="63" t="str">
        <f t="shared" si="0"/>
        <v>Lorna Cooke</v>
      </c>
      <c r="H34" s="14" t="s">
        <v>44</v>
      </c>
      <c r="I34" s="14" t="s">
        <v>45</v>
      </c>
      <c r="J34" s="16">
        <v>2</v>
      </c>
    </row>
    <row r="35" spans="1:10" x14ac:dyDescent="0.25">
      <c r="A35">
        <v>27</v>
      </c>
      <c r="B35" s="61" t="str">
        <f t="shared" si="0"/>
        <v>Kieran Cooke</v>
      </c>
      <c r="H35" s="14" t="s">
        <v>46</v>
      </c>
      <c r="I35" s="14" t="s">
        <v>45</v>
      </c>
      <c r="J35" s="16"/>
    </row>
    <row r="36" spans="1:10" x14ac:dyDescent="0.25">
      <c r="A36">
        <v>28</v>
      </c>
      <c r="B36" s="62" t="str">
        <f t="shared" si="0"/>
        <v>Richard Day</v>
      </c>
      <c r="H36" s="14" t="s">
        <v>47</v>
      </c>
      <c r="I36" s="14" t="s">
        <v>48</v>
      </c>
      <c r="J36" s="16">
        <v>1</v>
      </c>
    </row>
    <row r="37" spans="1:10" x14ac:dyDescent="0.25">
      <c r="A37">
        <v>29</v>
      </c>
      <c r="B37" s="63" t="str">
        <f t="shared" si="0"/>
        <v>Andy Duff</v>
      </c>
      <c r="H37" s="14" t="s">
        <v>49</v>
      </c>
      <c r="I37" s="14" t="s">
        <v>50</v>
      </c>
      <c r="J37" s="16">
        <v>2</v>
      </c>
    </row>
    <row r="38" spans="1:10" x14ac:dyDescent="0.25">
      <c r="A38">
        <v>30</v>
      </c>
      <c r="B38" s="61" t="str">
        <f t="shared" si="0"/>
        <v>Zoe  Duff</v>
      </c>
      <c r="H38" s="14" t="s">
        <v>77</v>
      </c>
      <c r="I38" s="55" t="s">
        <v>50</v>
      </c>
      <c r="J38" s="16"/>
    </row>
    <row r="39" spans="1:10" x14ac:dyDescent="0.25">
      <c r="A39">
        <v>31</v>
      </c>
      <c r="B39" s="63" t="str">
        <f t="shared" si="0"/>
        <v>Bob Fisher</v>
      </c>
      <c r="H39" s="14" t="s">
        <v>51</v>
      </c>
      <c r="I39" s="14" t="s">
        <v>52</v>
      </c>
      <c r="J39" s="16">
        <v>2</v>
      </c>
    </row>
    <row r="40" spans="1:10" x14ac:dyDescent="0.25">
      <c r="A40">
        <v>32</v>
      </c>
      <c r="B40" s="61" t="str">
        <f t="shared" si="0"/>
        <v>Sarah Steeden</v>
      </c>
      <c r="H40" s="55" t="s">
        <v>192</v>
      </c>
      <c r="I40" s="55" t="s">
        <v>216</v>
      </c>
      <c r="J40" s="16"/>
    </row>
    <row r="41" spans="1:10" x14ac:dyDescent="0.25">
      <c r="A41">
        <v>35</v>
      </c>
      <c r="B41" s="63" t="str">
        <f t="shared" si="0"/>
        <v>Mike Grubb</v>
      </c>
      <c r="H41" s="14" t="s">
        <v>79</v>
      </c>
      <c r="I41" s="14" t="s">
        <v>55</v>
      </c>
      <c r="J41" s="16">
        <v>2</v>
      </c>
    </row>
    <row r="42" spans="1:10" x14ac:dyDescent="0.25">
      <c r="A42">
        <v>36</v>
      </c>
      <c r="B42" s="61" t="str">
        <f t="shared" si="0"/>
        <v>Nerina Walton</v>
      </c>
      <c r="H42" s="14" t="s">
        <v>91</v>
      </c>
      <c r="I42" s="14" t="s">
        <v>92</v>
      </c>
      <c r="J42" s="16"/>
    </row>
    <row r="43" spans="1:10" x14ac:dyDescent="0.25">
      <c r="A43">
        <v>37</v>
      </c>
      <c r="B43" s="62" t="str">
        <f t="shared" si="0"/>
        <v>Liam Hale</v>
      </c>
      <c r="H43" s="14" t="s">
        <v>56</v>
      </c>
      <c r="I43" s="14" t="s">
        <v>57</v>
      </c>
      <c r="J43" s="16">
        <v>1</v>
      </c>
    </row>
    <row r="44" spans="1:10" x14ac:dyDescent="0.25">
      <c r="A44">
        <v>38</v>
      </c>
      <c r="B44" s="63" t="str">
        <f t="shared" si="0"/>
        <v>Jim Hazell</v>
      </c>
      <c r="H44" s="14" t="s">
        <v>0</v>
      </c>
      <c r="I44" s="14" t="s">
        <v>58</v>
      </c>
      <c r="J44" s="16">
        <v>2</v>
      </c>
    </row>
    <row r="45" spans="1:10" x14ac:dyDescent="0.25">
      <c r="A45">
        <v>39</v>
      </c>
      <c r="B45" s="61" t="str">
        <f t="shared" si="0"/>
        <v>Louise Walton</v>
      </c>
      <c r="H45" s="14" t="s">
        <v>120</v>
      </c>
      <c r="I45" s="55" t="s">
        <v>92</v>
      </c>
      <c r="J45" s="16"/>
    </row>
    <row r="46" spans="1:10" x14ac:dyDescent="0.25">
      <c r="A46">
        <v>40</v>
      </c>
      <c r="B46" s="62" t="str">
        <f t="shared" si="0"/>
        <v>Chris Heard</v>
      </c>
      <c r="H46" s="14" t="s">
        <v>59</v>
      </c>
      <c r="I46" s="14" t="s">
        <v>60</v>
      </c>
      <c r="J46" s="16">
        <v>1</v>
      </c>
    </row>
    <row r="47" spans="1:10" x14ac:dyDescent="0.25">
      <c r="A47">
        <v>41</v>
      </c>
      <c r="B47" s="63" t="str">
        <f t="shared" si="0"/>
        <v>Paul Holcroft</v>
      </c>
      <c r="H47" s="14" t="s">
        <v>61</v>
      </c>
      <c r="I47" s="14" t="s">
        <v>62</v>
      </c>
      <c r="J47" s="16">
        <v>2</v>
      </c>
    </row>
    <row r="48" spans="1:10" x14ac:dyDescent="0.25">
      <c r="A48">
        <v>42</v>
      </c>
      <c r="B48" s="61" t="str">
        <f t="shared" si="0"/>
        <v>Sue Holcroft</v>
      </c>
      <c r="H48" s="14" t="s">
        <v>2</v>
      </c>
      <c r="I48" s="14" t="s">
        <v>62</v>
      </c>
      <c r="J48" s="16"/>
    </row>
    <row r="49" spans="1:10" x14ac:dyDescent="0.25">
      <c r="A49">
        <v>44</v>
      </c>
      <c r="B49" s="63" t="str">
        <f t="shared" si="0"/>
        <v>Brian Manby</v>
      </c>
      <c r="H49" s="14" t="s">
        <v>64</v>
      </c>
      <c r="I49" s="14" t="s">
        <v>65</v>
      </c>
      <c r="J49" s="16">
        <v>6</v>
      </c>
    </row>
    <row r="50" spans="1:10" x14ac:dyDescent="0.25">
      <c r="A50">
        <v>45</v>
      </c>
      <c r="B50" s="60" t="str">
        <f t="shared" si="0"/>
        <v>Pat Manby</v>
      </c>
      <c r="H50" s="54" t="s">
        <v>181</v>
      </c>
      <c r="I50" s="14" t="s">
        <v>65</v>
      </c>
      <c r="J50" s="16"/>
    </row>
    <row r="51" spans="1:10" x14ac:dyDescent="0.25">
      <c r="A51">
        <v>46</v>
      </c>
      <c r="B51" s="60" t="str">
        <f t="shared" si="0"/>
        <v>Karina Manby</v>
      </c>
      <c r="H51" s="54" t="s">
        <v>182</v>
      </c>
      <c r="I51" s="14" t="s">
        <v>65</v>
      </c>
      <c r="J51" s="16"/>
    </row>
    <row r="52" spans="1:10" x14ac:dyDescent="0.25">
      <c r="A52">
        <v>47</v>
      </c>
      <c r="B52" s="60" t="str">
        <f t="shared" si="0"/>
        <v>Adrian Manby</v>
      </c>
      <c r="H52" s="54" t="s">
        <v>183</v>
      </c>
      <c r="I52" s="14" t="s">
        <v>65</v>
      </c>
      <c r="J52" s="16"/>
    </row>
    <row r="53" spans="1:10" x14ac:dyDescent="0.25">
      <c r="A53">
        <v>48</v>
      </c>
      <c r="B53" s="60" t="str">
        <f t="shared" si="0"/>
        <v>Nigel Rowsell</v>
      </c>
      <c r="H53" s="54" t="s">
        <v>184</v>
      </c>
      <c r="I53" s="54" t="s">
        <v>185</v>
      </c>
      <c r="J53" s="16"/>
    </row>
    <row r="54" spans="1:10" x14ac:dyDescent="0.25">
      <c r="A54">
        <v>49</v>
      </c>
      <c r="B54" s="61" t="str">
        <f t="shared" si="0"/>
        <v>Tracey Roswell</v>
      </c>
      <c r="H54" s="54" t="s">
        <v>186</v>
      </c>
      <c r="I54" s="54" t="s">
        <v>187</v>
      </c>
      <c r="J54" s="16"/>
    </row>
    <row r="55" spans="1:10" x14ac:dyDescent="0.25">
      <c r="A55">
        <v>50</v>
      </c>
      <c r="B55" s="63" t="str">
        <f t="shared" si="0"/>
        <v>Ed Mayne</v>
      </c>
      <c r="H55" s="14" t="s">
        <v>66</v>
      </c>
      <c r="I55" s="14" t="s">
        <v>67</v>
      </c>
      <c r="J55" s="16">
        <v>2</v>
      </c>
    </row>
    <row r="56" spans="1:10" x14ac:dyDescent="0.25">
      <c r="A56">
        <v>51</v>
      </c>
      <c r="B56" s="61" t="str">
        <f t="shared" si="0"/>
        <v>Iona Costley-White</v>
      </c>
      <c r="H56" s="14" t="s">
        <v>123</v>
      </c>
      <c r="I56" s="14" t="s">
        <v>124</v>
      </c>
      <c r="J56" s="16"/>
    </row>
    <row r="57" spans="1:10" x14ac:dyDescent="0.25">
      <c r="A57">
        <v>52</v>
      </c>
      <c r="B57" s="63" t="str">
        <f t="shared" si="0"/>
        <v>David McWilliam</v>
      </c>
      <c r="H57" s="14" t="s">
        <v>68</v>
      </c>
      <c r="I57" s="14" t="s">
        <v>69</v>
      </c>
      <c r="J57" s="16">
        <v>2</v>
      </c>
    </row>
    <row r="58" spans="1:10" x14ac:dyDescent="0.25">
      <c r="A58">
        <v>53</v>
      </c>
      <c r="B58" s="61" t="str">
        <f t="shared" si="0"/>
        <v>Ann-Marie Doody</v>
      </c>
      <c r="H58" s="55" t="s">
        <v>247</v>
      </c>
      <c r="I58" s="14" t="s">
        <v>121</v>
      </c>
      <c r="J58" s="16"/>
    </row>
    <row r="59" spans="1:10" x14ac:dyDescent="0.25">
      <c r="A59">
        <v>54</v>
      </c>
      <c r="B59" s="63" t="str">
        <f t="shared" si="0"/>
        <v>Jamie Reynolds</v>
      </c>
      <c r="H59" s="14" t="s">
        <v>70</v>
      </c>
      <c r="I59" s="14" t="s">
        <v>71</v>
      </c>
      <c r="J59" s="16">
        <v>2</v>
      </c>
    </row>
    <row r="60" spans="1:10" x14ac:dyDescent="0.25">
      <c r="A60">
        <v>55</v>
      </c>
      <c r="B60" s="61" t="str">
        <f t="shared" si="0"/>
        <v>Sophie Reynolds</v>
      </c>
      <c r="H60" s="55" t="s">
        <v>223</v>
      </c>
      <c r="I60" s="14" t="s">
        <v>71</v>
      </c>
      <c r="J60" s="16"/>
    </row>
    <row r="61" spans="1:10" x14ac:dyDescent="0.25">
      <c r="A61">
        <v>56</v>
      </c>
      <c r="B61" s="63" t="str">
        <f t="shared" si="0"/>
        <v>Bill Russell</v>
      </c>
      <c r="H61" s="25" t="s">
        <v>72</v>
      </c>
      <c r="I61" s="25" t="s">
        <v>73</v>
      </c>
      <c r="J61" s="27">
        <v>2</v>
      </c>
    </row>
    <row r="62" spans="1:10" x14ac:dyDescent="0.25">
      <c r="A62">
        <v>57</v>
      </c>
      <c r="B62" s="61" t="str">
        <f t="shared" si="0"/>
        <v>Chris Airey</v>
      </c>
      <c r="H62" s="25" t="s">
        <v>59</v>
      </c>
      <c r="I62" s="25" t="s">
        <v>116</v>
      </c>
      <c r="J62" s="27"/>
    </row>
    <row r="63" spans="1:10" x14ac:dyDescent="0.25">
      <c r="A63">
        <v>58</v>
      </c>
      <c r="B63" s="62" t="str">
        <f t="shared" si="0"/>
        <v>June Snowden</v>
      </c>
      <c r="H63" s="14" t="s">
        <v>74</v>
      </c>
      <c r="I63" s="14" t="s">
        <v>75</v>
      </c>
      <c r="J63" s="16">
        <v>1</v>
      </c>
    </row>
    <row r="64" spans="1:10" x14ac:dyDescent="0.25">
      <c r="A64">
        <v>59</v>
      </c>
      <c r="B64" s="63" t="str">
        <f t="shared" si="0"/>
        <v>Zoe  Stanton</v>
      </c>
      <c r="H64" s="14" t="s">
        <v>77</v>
      </c>
      <c r="I64" s="14" t="s">
        <v>78</v>
      </c>
      <c r="J64" s="16">
        <v>5</v>
      </c>
    </row>
    <row r="65" spans="1:10" x14ac:dyDescent="0.25">
      <c r="A65">
        <v>60</v>
      </c>
      <c r="B65" s="60" t="str">
        <f t="shared" si="0"/>
        <v>Max Davis</v>
      </c>
      <c r="H65" s="54" t="s">
        <v>188</v>
      </c>
      <c r="I65" s="54" t="s">
        <v>189</v>
      </c>
      <c r="J65" s="16"/>
    </row>
    <row r="66" spans="1:10" x14ac:dyDescent="0.25">
      <c r="A66">
        <v>61</v>
      </c>
      <c r="B66" s="60" t="str">
        <f t="shared" si="0"/>
        <v>Maria Stanton</v>
      </c>
      <c r="H66" s="54" t="s">
        <v>190</v>
      </c>
      <c r="I66" s="14" t="s">
        <v>78</v>
      </c>
      <c r="J66" s="16"/>
    </row>
    <row r="67" spans="1:10" x14ac:dyDescent="0.25">
      <c r="A67">
        <v>62</v>
      </c>
      <c r="B67" s="60" t="str">
        <f t="shared" si="0"/>
        <v>Carol Stanton</v>
      </c>
      <c r="H67" s="54" t="s">
        <v>191</v>
      </c>
      <c r="I67" s="14" t="s">
        <v>78</v>
      </c>
      <c r="J67" s="16"/>
    </row>
    <row r="68" spans="1:10" x14ac:dyDescent="0.25">
      <c r="A68">
        <v>63</v>
      </c>
      <c r="B68" s="61" t="str">
        <f t="shared" si="0"/>
        <v>Paul Stanton</v>
      </c>
      <c r="H68" s="54" t="s">
        <v>61</v>
      </c>
      <c r="I68" s="14" t="s">
        <v>78</v>
      </c>
      <c r="J68" s="16"/>
    </row>
    <row r="69" spans="1:10" x14ac:dyDescent="0.25">
      <c r="A69">
        <v>64</v>
      </c>
      <c r="B69" s="63" t="str">
        <f t="shared" si="0"/>
        <v>Mike Stone</v>
      </c>
      <c r="H69" s="14" t="s">
        <v>79</v>
      </c>
      <c r="I69" s="14" t="s">
        <v>80</v>
      </c>
      <c r="J69" s="16">
        <v>2</v>
      </c>
    </row>
    <row r="70" spans="1:10" x14ac:dyDescent="0.25">
      <c r="A70">
        <v>65</v>
      </c>
      <c r="B70" s="61" t="str">
        <f t="shared" si="0"/>
        <v>No2 Stone</v>
      </c>
      <c r="H70" s="14" t="s">
        <v>94</v>
      </c>
      <c r="I70" s="14" t="s">
        <v>80</v>
      </c>
      <c r="J70" s="16"/>
    </row>
    <row r="71" spans="1:10" x14ac:dyDescent="0.25">
      <c r="A71">
        <v>66</v>
      </c>
      <c r="B71" s="63" t="str">
        <f t="shared" ref="B71:B88" si="1">H71&amp;" "&amp;I71</f>
        <v>Ben Tillett</v>
      </c>
      <c r="H71" s="14" t="s">
        <v>82</v>
      </c>
      <c r="I71" s="14" t="s">
        <v>83</v>
      </c>
      <c r="J71" s="16">
        <v>2</v>
      </c>
    </row>
    <row r="72" spans="1:10" x14ac:dyDescent="0.25">
      <c r="A72">
        <v>67</v>
      </c>
      <c r="B72" s="61" t="str">
        <f t="shared" si="1"/>
        <v>Sarah Tillett</v>
      </c>
      <c r="H72" s="54" t="s">
        <v>192</v>
      </c>
      <c r="I72" s="14" t="s">
        <v>83</v>
      </c>
      <c r="J72" s="16"/>
    </row>
    <row r="73" spans="1:10" x14ac:dyDescent="0.25">
      <c r="A73">
        <v>68</v>
      </c>
      <c r="B73" s="63" t="str">
        <f t="shared" si="1"/>
        <v>Malcolm Treen</v>
      </c>
      <c r="H73" s="14" t="s">
        <v>84</v>
      </c>
      <c r="I73" s="14" t="s">
        <v>85</v>
      </c>
      <c r="J73" s="16">
        <v>8</v>
      </c>
    </row>
    <row r="74" spans="1:10" x14ac:dyDescent="0.25">
      <c r="A74">
        <v>69</v>
      </c>
      <c r="B74" s="60" t="str">
        <f t="shared" si="1"/>
        <v>Mary Treen</v>
      </c>
      <c r="H74" s="14" t="s">
        <v>104</v>
      </c>
      <c r="I74" s="14" t="s">
        <v>85</v>
      </c>
      <c r="J74" s="16"/>
    </row>
    <row r="75" spans="1:10" x14ac:dyDescent="0.25">
      <c r="A75">
        <v>70</v>
      </c>
      <c r="B75" s="60" t="str">
        <f t="shared" si="1"/>
        <v>David Keay</v>
      </c>
      <c r="H75" s="14" t="s">
        <v>68</v>
      </c>
      <c r="I75" s="14" t="s">
        <v>105</v>
      </c>
      <c r="J75" s="16"/>
    </row>
    <row r="76" spans="1:10" x14ac:dyDescent="0.25">
      <c r="A76">
        <v>71</v>
      </c>
      <c r="B76" s="60" t="str">
        <f t="shared" si="1"/>
        <v>Jackie Keay</v>
      </c>
      <c r="H76" s="14" t="s">
        <v>106</v>
      </c>
      <c r="I76" s="14" t="s">
        <v>105</v>
      </c>
      <c r="J76" s="16"/>
    </row>
    <row r="77" spans="1:10" x14ac:dyDescent="0.25">
      <c r="A77">
        <v>72</v>
      </c>
      <c r="B77" s="60" t="str">
        <f t="shared" si="1"/>
        <v>Malcolm Edwards</v>
      </c>
      <c r="H77" s="14" t="s">
        <v>84</v>
      </c>
      <c r="I77" s="14" t="s">
        <v>107</v>
      </c>
      <c r="J77" s="16"/>
    </row>
    <row r="78" spans="1:10" x14ac:dyDescent="0.25">
      <c r="A78">
        <v>73</v>
      </c>
      <c r="B78" s="60" t="str">
        <f t="shared" si="1"/>
        <v>Theresa Edwards</v>
      </c>
      <c r="H78" s="14" t="s">
        <v>108</v>
      </c>
      <c r="I78" s="14" t="s">
        <v>107</v>
      </c>
      <c r="J78" s="16"/>
    </row>
    <row r="79" spans="1:10" x14ac:dyDescent="0.25">
      <c r="A79">
        <v>74</v>
      </c>
      <c r="B79" s="60" t="str">
        <f t="shared" si="1"/>
        <v>Peter Franklin</v>
      </c>
      <c r="H79" s="14" t="s">
        <v>109</v>
      </c>
      <c r="I79" s="14" t="s">
        <v>110</v>
      </c>
      <c r="J79" s="16"/>
    </row>
    <row r="80" spans="1:10" x14ac:dyDescent="0.25">
      <c r="A80">
        <v>75</v>
      </c>
      <c r="B80" s="61" t="str">
        <f t="shared" si="1"/>
        <v>Jenny Franklin</v>
      </c>
      <c r="H80" s="14" t="s">
        <v>111</v>
      </c>
      <c r="I80" s="14" t="s">
        <v>110</v>
      </c>
      <c r="J80" s="16"/>
    </row>
    <row r="81" spans="2:10" x14ac:dyDescent="0.25">
      <c r="B81" s="63" t="str">
        <f t="shared" si="1"/>
        <v>Ken Wilkinson</v>
      </c>
      <c r="H81" s="28" t="s">
        <v>1</v>
      </c>
      <c r="I81" s="28" t="s">
        <v>86</v>
      </c>
      <c r="J81" s="30">
        <v>2</v>
      </c>
    </row>
    <row r="82" spans="2:10" x14ac:dyDescent="0.25">
      <c r="B82" s="61" t="str">
        <f t="shared" si="1"/>
        <v>Angela Wilkinson</v>
      </c>
      <c r="H82" s="28" t="s">
        <v>174</v>
      </c>
      <c r="I82" s="28" t="s">
        <v>86</v>
      </c>
      <c r="J82" s="30"/>
    </row>
    <row r="83" spans="2:10" x14ac:dyDescent="0.25">
      <c r="B83" s="63" t="str">
        <f t="shared" si="1"/>
        <v>Gilly Wood Roberts</v>
      </c>
      <c r="H83" s="28" t="s">
        <v>87</v>
      </c>
      <c r="I83" s="28" t="s">
        <v>115</v>
      </c>
      <c r="J83" s="30">
        <v>2</v>
      </c>
    </row>
    <row r="84" spans="2:10" x14ac:dyDescent="0.25">
      <c r="B84" s="61" t="str">
        <f t="shared" si="1"/>
        <v>Dave Roberts</v>
      </c>
      <c r="H84" s="28" t="s">
        <v>113</v>
      </c>
      <c r="I84" s="28" t="s">
        <v>114</v>
      </c>
      <c r="J84" s="30"/>
    </row>
    <row r="85" spans="2:10" x14ac:dyDescent="0.25">
      <c r="B85" s="63" t="str">
        <f t="shared" si="1"/>
        <v>John Welsman</v>
      </c>
      <c r="H85" s="28" t="s">
        <v>41</v>
      </c>
      <c r="I85" s="28" t="s">
        <v>175</v>
      </c>
      <c r="J85" s="30">
        <v>2</v>
      </c>
    </row>
    <row r="86" spans="2:10" x14ac:dyDescent="0.25">
      <c r="B86" s="61" t="str">
        <f t="shared" si="1"/>
        <v>Jan Welsman</v>
      </c>
      <c r="H86" s="28" t="s">
        <v>176</v>
      </c>
      <c r="I86" s="28" t="s">
        <v>175</v>
      </c>
      <c r="J86" s="30"/>
    </row>
    <row r="87" spans="2:10" x14ac:dyDescent="0.25">
      <c r="B87" s="56" t="str">
        <f t="shared" si="1"/>
        <v xml:space="preserve"> </v>
      </c>
      <c r="H87" s="52"/>
      <c r="I87" s="52"/>
      <c r="J87" s="53"/>
    </row>
    <row r="88" spans="2:10" x14ac:dyDescent="0.25">
      <c r="B88" s="56" t="str">
        <f t="shared" si="1"/>
        <v xml:space="preserve"> </v>
      </c>
      <c r="H88" s="52"/>
      <c r="I88" s="52"/>
      <c r="J88" s="53"/>
    </row>
    <row r="89" spans="2:10" x14ac:dyDescent="0.25">
      <c r="H89" s="52"/>
      <c r="I89" s="52"/>
      <c r="J89" s="53"/>
    </row>
    <row r="90" spans="2:10" x14ac:dyDescent="0.25">
      <c r="H90" s="52"/>
      <c r="I90" s="52"/>
      <c r="J90" s="53"/>
    </row>
    <row r="91" spans="2:10" x14ac:dyDescent="0.25">
      <c r="H91" s="52"/>
      <c r="I91" s="52"/>
      <c r="J91" s="53"/>
    </row>
    <row r="92" spans="2:10" x14ac:dyDescent="0.25">
      <c r="H92" s="52"/>
      <c r="I92" s="52"/>
      <c r="J92" s="53"/>
    </row>
    <row r="93" spans="2:10" ht="16.5" thickBot="1" x14ac:dyDescent="0.3">
      <c r="J93" s="33">
        <f>SUM(J10:J83)</f>
        <v>75</v>
      </c>
    </row>
    <row r="95" spans="2:10" x14ac:dyDescent="0.25">
      <c r="J95" s="36">
        <v>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N85"/>
  <sheetViews>
    <sheetView workbookViewId="0">
      <selection activeCell="B61" sqref="B61"/>
    </sheetView>
  </sheetViews>
  <sheetFormatPr defaultRowHeight="15" x14ac:dyDescent="0.25"/>
  <cols>
    <col min="1" max="1" width="9.140625" style="6"/>
    <col min="2" max="2" width="12.42578125" style="6" customWidth="1"/>
    <col min="3" max="3" width="16.85546875" style="6" customWidth="1"/>
    <col min="4" max="4" width="11.85546875" style="6" customWidth="1"/>
    <col min="5" max="5" width="10.7109375" style="6" customWidth="1"/>
    <col min="6" max="6" width="9.85546875" style="6" customWidth="1"/>
    <col min="7" max="7" width="11.42578125" style="6" customWidth="1"/>
    <col min="8" max="8" width="8.28515625" style="6" customWidth="1"/>
    <col min="9" max="9" width="10.42578125" style="6" customWidth="1"/>
    <col min="10" max="10" width="10.5703125" style="6" customWidth="1"/>
    <col min="11" max="16384" width="9.140625" style="6"/>
  </cols>
  <sheetData>
    <row r="1" spans="1:10" x14ac:dyDescent="0.25">
      <c r="B1" s="5" t="s">
        <v>4</v>
      </c>
    </row>
    <row r="3" spans="1:10" ht="15.75" thickBot="1" x14ac:dyDescent="0.3"/>
    <row r="4" spans="1:10" ht="47.25" customHeight="1" thickBot="1" x14ac:dyDescent="0.3">
      <c r="B4" s="7" t="s">
        <v>5</v>
      </c>
      <c r="C4" s="8" t="s">
        <v>6</v>
      </c>
      <c r="D4" s="9" t="s">
        <v>7</v>
      </c>
      <c r="E4" s="10" t="s">
        <v>8</v>
      </c>
      <c r="F4" s="10" t="s">
        <v>9</v>
      </c>
      <c r="G4" s="10" t="s">
        <v>10</v>
      </c>
      <c r="H4" s="11" t="s">
        <v>11</v>
      </c>
      <c r="I4" s="12" t="s">
        <v>12</v>
      </c>
      <c r="J4" s="13" t="s">
        <v>13</v>
      </c>
    </row>
    <row r="5" spans="1:10" x14ac:dyDescent="0.25">
      <c r="A5" s="6">
        <v>1</v>
      </c>
      <c r="B5" s="14" t="s">
        <v>14</v>
      </c>
      <c r="C5" s="14" t="s">
        <v>15</v>
      </c>
      <c r="D5" s="14" t="s">
        <v>16</v>
      </c>
      <c r="E5" s="15" t="s">
        <v>17</v>
      </c>
      <c r="F5" s="15">
        <v>1</v>
      </c>
      <c r="G5" s="15" t="s">
        <v>17</v>
      </c>
      <c r="H5" s="16">
        <v>64</v>
      </c>
      <c r="I5" s="16">
        <v>2</v>
      </c>
      <c r="J5" s="17">
        <v>2</v>
      </c>
    </row>
    <row r="6" spans="1:10" x14ac:dyDescent="0.25">
      <c r="A6" s="6">
        <v>2</v>
      </c>
      <c r="B6" s="14" t="s">
        <v>93</v>
      </c>
      <c r="C6" s="14" t="s">
        <v>15</v>
      </c>
      <c r="D6" s="14" t="s">
        <v>3</v>
      </c>
      <c r="E6" s="15"/>
      <c r="F6" s="15"/>
      <c r="G6" s="15"/>
      <c r="H6" s="16"/>
      <c r="I6" s="16"/>
      <c r="J6" s="17"/>
    </row>
    <row r="7" spans="1:10" x14ac:dyDescent="0.25">
      <c r="A7" s="6">
        <v>3</v>
      </c>
      <c r="B7" s="18" t="s">
        <v>18</v>
      </c>
      <c r="C7" s="18" t="s">
        <v>19</v>
      </c>
      <c r="D7" s="18" t="s">
        <v>16</v>
      </c>
      <c r="E7" s="19" t="s">
        <v>17</v>
      </c>
      <c r="F7" s="19"/>
      <c r="G7" s="19"/>
      <c r="H7" s="20"/>
      <c r="I7" s="20"/>
      <c r="J7" s="21"/>
    </row>
    <row r="8" spans="1:10" x14ac:dyDescent="0.25">
      <c r="A8" s="6">
        <v>4</v>
      </c>
      <c r="B8" s="14" t="s">
        <v>20</v>
      </c>
      <c r="C8" s="14" t="s">
        <v>21</v>
      </c>
      <c r="D8" s="14" t="s">
        <v>16</v>
      </c>
      <c r="E8" s="15" t="s">
        <v>17</v>
      </c>
      <c r="F8" s="15"/>
      <c r="G8" s="15" t="s">
        <v>17</v>
      </c>
      <c r="H8" s="16">
        <v>32</v>
      </c>
      <c r="I8" s="16">
        <v>1</v>
      </c>
      <c r="J8" s="21">
        <v>1</v>
      </c>
    </row>
    <row r="9" spans="1:10" x14ac:dyDescent="0.25">
      <c r="A9" s="6">
        <v>5</v>
      </c>
      <c r="B9" s="18" t="s">
        <v>22</v>
      </c>
      <c r="C9" s="18" t="s">
        <v>23</v>
      </c>
      <c r="D9" s="18" t="s">
        <v>16</v>
      </c>
      <c r="E9" s="19" t="s">
        <v>17</v>
      </c>
      <c r="F9" s="19"/>
      <c r="G9" s="19"/>
      <c r="H9" s="20"/>
      <c r="I9" s="20"/>
      <c r="J9" s="21"/>
    </row>
    <row r="10" spans="1:10" x14ac:dyDescent="0.25">
      <c r="A10" s="6">
        <v>6</v>
      </c>
      <c r="B10" s="14" t="s">
        <v>24</v>
      </c>
      <c r="C10" s="14" t="s">
        <v>25</v>
      </c>
      <c r="D10" s="14" t="s">
        <v>16</v>
      </c>
      <c r="E10" s="15" t="s">
        <v>17</v>
      </c>
      <c r="F10" s="15">
        <v>2</v>
      </c>
      <c r="G10" s="15" t="s">
        <v>17</v>
      </c>
      <c r="H10" s="16">
        <v>96</v>
      </c>
      <c r="I10" s="16">
        <v>3</v>
      </c>
      <c r="J10" s="21">
        <v>3</v>
      </c>
    </row>
    <row r="11" spans="1:10" x14ac:dyDescent="0.25">
      <c r="A11" s="6">
        <v>7</v>
      </c>
      <c r="B11" s="14" t="s">
        <v>94</v>
      </c>
      <c r="C11" s="14" t="s">
        <v>117</v>
      </c>
      <c r="D11" s="14"/>
      <c r="E11" s="15"/>
      <c r="F11" s="15"/>
      <c r="G11" s="15"/>
      <c r="H11" s="16"/>
      <c r="I11" s="16"/>
      <c r="J11" s="21"/>
    </row>
    <row r="12" spans="1:10" x14ac:dyDescent="0.25">
      <c r="A12" s="6">
        <v>8</v>
      </c>
      <c r="B12" s="14" t="s">
        <v>95</v>
      </c>
      <c r="C12" s="14" t="s">
        <v>117</v>
      </c>
      <c r="D12" s="14"/>
      <c r="E12" s="15"/>
      <c r="F12" s="15"/>
      <c r="G12" s="15"/>
      <c r="H12" s="16"/>
      <c r="I12" s="16"/>
      <c r="J12" s="21"/>
    </row>
    <row r="13" spans="1:10" x14ac:dyDescent="0.25">
      <c r="A13" s="6">
        <v>9</v>
      </c>
      <c r="B13" s="18" t="s">
        <v>26</v>
      </c>
      <c r="C13" s="18" t="s">
        <v>27</v>
      </c>
      <c r="D13" s="18" t="s">
        <v>16</v>
      </c>
      <c r="E13" s="19" t="s">
        <v>17</v>
      </c>
      <c r="F13" s="19"/>
      <c r="G13" s="19"/>
      <c r="H13" s="20"/>
      <c r="I13" s="20"/>
      <c r="J13" s="21"/>
    </row>
    <row r="14" spans="1:10" x14ac:dyDescent="0.25">
      <c r="A14" s="6">
        <v>10</v>
      </c>
      <c r="B14" s="14" t="s">
        <v>28</v>
      </c>
      <c r="C14" s="14" t="s">
        <v>29</v>
      </c>
      <c r="D14" s="14" t="s">
        <v>16</v>
      </c>
      <c r="E14" s="15" t="s">
        <v>17</v>
      </c>
      <c r="F14" s="15">
        <v>1</v>
      </c>
      <c r="G14" s="15" t="s">
        <v>17</v>
      </c>
      <c r="H14" s="16">
        <v>32</v>
      </c>
      <c r="I14" s="16">
        <v>1</v>
      </c>
      <c r="J14" s="21">
        <v>1</v>
      </c>
    </row>
    <row r="15" spans="1:10" x14ac:dyDescent="0.25">
      <c r="A15" s="6">
        <v>11</v>
      </c>
      <c r="B15" s="18" t="s">
        <v>30</v>
      </c>
      <c r="C15" s="18" t="s">
        <v>31</v>
      </c>
      <c r="D15" s="18" t="s">
        <v>16</v>
      </c>
      <c r="E15" s="19" t="s">
        <v>17</v>
      </c>
      <c r="F15" s="19"/>
      <c r="G15" s="19"/>
      <c r="H15" s="20"/>
      <c r="I15" s="20"/>
      <c r="J15" s="21"/>
    </row>
    <row r="16" spans="1:10" x14ac:dyDescent="0.25">
      <c r="A16" s="6">
        <v>13</v>
      </c>
      <c r="B16" s="18" t="s">
        <v>32</v>
      </c>
      <c r="C16" s="18" t="s">
        <v>33</v>
      </c>
      <c r="D16" s="18" t="s">
        <v>34</v>
      </c>
      <c r="E16" s="19" t="s">
        <v>17</v>
      </c>
      <c r="F16" s="19"/>
      <c r="G16" s="19"/>
      <c r="H16" s="20"/>
      <c r="I16" s="20"/>
      <c r="J16" s="21"/>
    </row>
    <row r="17" spans="1:14" x14ac:dyDescent="0.25">
      <c r="A17" s="6">
        <v>15</v>
      </c>
      <c r="B17" s="14" t="s">
        <v>35</v>
      </c>
      <c r="C17" s="14" t="s">
        <v>36</v>
      </c>
      <c r="D17" s="14" t="s">
        <v>16</v>
      </c>
      <c r="E17" s="15" t="s">
        <v>17</v>
      </c>
      <c r="F17" s="15">
        <v>3</v>
      </c>
      <c r="G17" s="15" t="s">
        <v>17</v>
      </c>
      <c r="H17" s="16">
        <v>128</v>
      </c>
      <c r="I17" s="16">
        <v>4</v>
      </c>
      <c r="J17" s="21">
        <v>4</v>
      </c>
    </row>
    <row r="18" spans="1:14" x14ac:dyDescent="0.25">
      <c r="A18" s="6">
        <v>16</v>
      </c>
      <c r="B18" s="14" t="s">
        <v>94</v>
      </c>
      <c r="C18" s="14" t="s">
        <v>36</v>
      </c>
      <c r="D18" s="14" t="s">
        <v>3</v>
      </c>
      <c r="E18" s="15"/>
      <c r="F18" s="15"/>
      <c r="G18" s="15"/>
      <c r="H18" s="16"/>
      <c r="I18" s="16"/>
      <c r="J18" s="21"/>
    </row>
    <row r="19" spans="1:14" x14ac:dyDescent="0.25">
      <c r="A19" s="6">
        <v>17</v>
      </c>
      <c r="B19" s="14" t="s">
        <v>95</v>
      </c>
      <c r="C19" s="14" t="s">
        <v>36</v>
      </c>
      <c r="D19" s="14" t="s">
        <v>3</v>
      </c>
      <c r="E19" s="15"/>
      <c r="F19" s="15"/>
      <c r="G19" s="15"/>
      <c r="H19" s="16"/>
      <c r="I19" s="16"/>
      <c r="J19" s="21"/>
    </row>
    <row r="20" spans="1:14" x14ac:dyDescent="0.25">
      <c r="A20" s="6">
        <v>18</v>
      </c>
      <c r="B20" s="14" t="s">
        <v>96</v>
      </c>
      <c r="C20" s="14" t="s">
        <v>36</v>
      </c>
      <c r="D20" s="14" t="s">
        <v>3</v>
      </c>
      <c r="E20" s="15"/>
      <c r="F20" s="15"/>
      <c r="G20" s="15"/>
      <c r="H20" s="16"/>
      <c r="I20" s="16"/>
      <c r="J20" s="21"/>
    </row>
    <row r="21" spans="1:14" x14ac:dyDescent="0.25">
      <c r="A21" s="6">
        <v>19</v>
      </c>
      <c r="B21" s="14" t="s">
        <v>37</v>
      </c>
      <c r="C21" s="14" t="s">
        <v>38</v>
      </c>
      <c r="D21" s="14" t="s">
        <v>16</v>
      </c>
      <c r="E21" s="15" t="s">
        <v>17</v>
      </c>
      <c r="F21" s="15">
        <v>1</v>
      </c>
      <c r="G21" s="15" t="s">
        <v>17</v>
      </c>
      <c r="H21" s="16">
        <v>128</v>
      </c>
      <c r="I21" s="16">
        <v>4</v>
      </c>
      <c r="J21" s="21">
        <v>4</v>
      </c>
    </row>
    <row r="22" spans="1:14" x14ac:dyDescent="0.25">
      <c r="A22" s="6">
        <v>20</v>
      </c>
      <c r="B22" s="14" t="s">
        <v>101</v>
      </c>
      <c r="C22" s="14" t="s">
        <v>38</v>
      </c>
      <c r="D22" s="14" t="s">
        <v>3</v>
      </c>
      <c r="E22" s="15"/>
      <c r="F22" s="15"/>
      <c r="G22" s="15"/>
      <c r="H22" s="16"/>
      <c r="I22" s="16"/>
      <c r="J22" s="21"/>
      <c r="N22" s="38"/>
    </row>
    <row r="23" spans="1:14" x14ac:dyDescent="0.25">
      <c r="A23" s="6">
        <v>21</v>
      </c>
      <c r="B23" s="14" t="s">
        <v>102</v>
      </c>
      <c r="C23" s="14" t="s">
        <v>48</v>
      </c>
      <c r="D23" s="14" t="s">
        <v>3</v>
      </c>
      <c r="E23" s="15"/>
      <c r="F23" s="15"/>
      <c r="G23" s="15"/>
      <c r="H23" s="16"/>
      <c r="I23" s="16"/>
      <c r="J23" s="21"/>
      <c r="N23" s="38"/>
    </row>
    <row r="24" spans="1:14" x14ac:dyDescent="0.25">
      <c r="A24" s="6">
        <v>22</v>
      </c>
      <c r="B24" s="14" t="s">
        <v>30</v>
      </c>
      <c r="C24" s="14" t="s">
        <v>103</v>
      </c>
      <c r="D24" s="14" t="s">
        <v>3</v>
      </c>
      <c r="E24" s="15"/>
      <c r="F24" s="15"/>
      <c r="G24" s="15"/>
      <c r="H24" s="16"/>
      <c r="I24" s="16"/>
      <c r="J24" s="21"/>
      <c r="N24" s="38"/>
    </row>
    <row r="25" spans="1:14" x14ac:dyDescent="0.25">
      <c r="A25" s="6">
        <v>23</v>
      </c>
      <c r="B25" s="14" t="s">
        <v>39</v>
      </c>
      <c r="C25" s="14" t="s">
        <v>40</v>
      </c>
      <c r="D25" s="14" t="s">
        <v>16</v>
      </c>
      <c r="E25" s="15" t="s">
        <v>17</v>
      </c>
      <c r="F25" s="15">
        <v>1</v>
      </c>
      <c r="G25" s="15" t="s">
        <v>17</v>
      </c>
      <c r="H25" s="16">
        <v>96</v>
      </c>
      <c r="I25" s="16">
        <v>3</v>
      </c>
      <c r="J25" s="21">
        <v>3</v>
      </c>
      <c r="N25" s="38"/>
    </row>
    <row r="26" spans="1:14" x14ac:dyDescent="0.25">
      <c r="A26" s="6">
        <v>24</v>
      </c>
      <c r="B26" s="14" t="s">
        <v>94</v>
      </c>
      <c r="C26" s="14" t="s">
        <v>40</v>
      </c>
      <c r="D26" s="14" t="s">
        <v>3</v>
      </c>
      <c r="E26" s="15"/>
      <c r="F26" s="15"/>
      <c r="G26" s="15"/>
      <c r="H26" s="16"/>
      <c r="I26" s="16"/>
      <c r="J26" s="21"/>
      <c r="N26" s="38"/>
    </row>
    <row r="27" spans="1:14" x14ac:dyDescent="0.25">
      <c r="A27" s="6">
        <v>25</v>
      </c>
      <c r="B27" s="14" t="s">
        <v>95</v>
      </c>
      <c r="C27" s="14" t="s">
        <v>40</v>
      </c>
      <c r="D27" s="14" t="s">
        <v>3</v>
      </c>
      <c r="E27" s="15"/>
      <c r="F27" s="15"/>
      <c r="G27" s="15"/>
      <c r="H27" s="16"/>
      <c r="I27" s="16"/>
      <c r="J27" s="21"/>
      <c r="N27" s="38"/>
    </row>
    <row r="28" spans="1:14" x14ac:dyDescent="0.25">
      <c r="A28" s="6">
        <v>26</v>
      </c>
      <c r="B28" s="18" t="s">
        <v>41</v>
      </c>
      <c r="C28" s="18" t="s">
        <v>42</v>
      </c>
      <c r="D28" s="18" t="s">
        <v>43</v>
      </c>
      <c r="E28" s="19" t="s">
        <v>17</v>
      </c>
      <c r="F28" s="19">
        <v>3</v>
      </c>
      <c r="G28" s="19"/>
      <c r="H28" s="20"/>
      <c r="I28" s="20"/>
      <c r="J28" s="21"/>
    </row>
    <row r="29" spans="1:14" x14ac:dyDescent="0.25">
      <c r="A29" s="6">
        <v>27</v>
      </c>
      <c r="B29" s="14" t="s">
        <v>44</v>
      </c>
      <c r="C29" s="14" t="s">
        <v>45</v>
      </c>
      <c r="D29" s="14" t="s">
        <v>16</v>
      </c>
      <c r="E29" s="15" t="s">
        <v>17</v>
      </c>
      <c r="F29" s="15"/>
      <c r="G29" s="15" t="s">
        <v>17</v>
      </c>
      <c r="H29" s="16">
        <v>32</v>
      </c>
      <c r="I29" s="16">
        <v>1</v>
      </c>
      <c r="J29" s="21">
        <v>1</v>
      </c>
    </row>
    <row r="30" spans="1:14" x14ac:dyDescent="0.25">
      <c r="A30" s="6">
        <v>28</v>
      </c>
      <c r="B30" s="14" t="s">
        <v>46</v>
      </c>
      <c r="C30" s="14" t="s">
        <v>45</v>
      </c>
      <c r="D30" s="14" t="s">
        <v>16</v>
      </c>
      <c r="E30" s="15" t="s">
        <v>17</v>
      </c>
      <c r="F30" s="15"/>
      <c r="G30" s="15" t="s">
        <v>17</v>
      </c>
      <c r="H30" s="16">
        <v>32</v>
      </c>
      <c r="I30" s="16">
        <v>1</v>
      </c>
      <c r="J30" s="21">
        <v>1</v>
      </c>
    </row>
    <row r="31" spans="1:14" x14ac:dyDescent="0.25">
      <c r="A31" s="6">
        <v>29</v>
      </c>
      <c r="B31" s="14" t="s">
        <v>47</v>
      </c>
      <c r="C31" s="14" t="s">
        <v>48</v>
      </c>
      <c r="D31" s="14" t="s">
        <v>16</v>
      </c>
      <c r="E31" s="15" t="s">
        <v>17</v>
      </c>
      <c r="F31" s="15"/>
      <c r="G31" s="15" t="s">
        <v>17</v>
      </c>
      <c r="H31" s="16">
        <v>32</v>
      </c>
      <c r="I31" s="16">
        <v>1</v>
      </c>
      <c r="J31" s="21">
        <v>1</v>
      </c>
    </row>
    <row r="32" spans="1:14" x14ac:dyDescent="0.25">
      <c r="A32" s="6">
        <v>30</v>
      </c>
      <c r="B32" s="18" t="s">
        <v>49</v>
      </c>
      <c r="C32" s="18" t="s">
        <v>50</v>
      </c>
      <c r="D32" s="18" t="s">
        <v>43</v>
      </c>
      <c r="E32" s="19" t="s">
        <v>17</v>
      </c>
      <c r="F32" s="19">
        <v>1</v>
      </c>
      <c r="G32" s="19"/>
      <c r="H32" s="20"/>
      <c r="I32" s="20"/>
      <c r="J32" s="21"/>
    </row>
    <row r="33" spans="1:10" x14ac:dyDescent="0.25">
      <c r="A33" s="6">
        <v>31</v>
      </c>
      <c r="B33" s="14" t="s">
        <v>51</v>
      </c>
      <c r="C33" s="14" t="s">
        <v>52</v>
      </c>
      <c r="D33" s="14" t="s">
        <v>16</v>
      </c>
      <c r="E33" s="15" t="s">
        <v>17</v>
      </c>
      <c r="F33" s="15"/>
      <c r="G33" s="15" t="s">
        <v>17</v>
      </c>
      <c r="H33" s="16">
        <v>64</v>
      </c>
      <c r="I33" s="16">
        <v>2</v>
      </c>
      <c r="J33" s="21">
        <v>2</v>
      </c>
    </row>
    <row r="34" spans="1:10" x14ac:dyDescent="0.25">
      <c r="A34" s="6">
        <v>32</v>
      </c>
      <c r="B34" s="14" t="s">
        <v>118</v>
      </c>
      <c r="C34" s="14" t="s">
        <v>119</v>
      </c>
      <c r="D34" s="14" t="s">
        <v>16</v>
      </c>
      <c r="E34" s="15"/>
      <c r="F34" s="15"/>
      <c r="G34" s="15"/>
      <c r="H34" s="16"/>
      <c r="I34" s="16"/>
      <c r="J34" s="21"/>
    </row>
    <row r="35" spans="1:10" x14ac:dyDescent="0.25">
      <c r="A35" s="6">
        <v>33</v>
      </c>
      <c r="B35" s="22" t="s">
        <v>53</v>
      </c>
      <c r="C35" s="22" t="s">
        <v>54</v>
      </c>
      <c r="D35" s="22" t="s">
        <v>16</v>
      </c>
      <c r="E35" s="23" t="s">
        <v>17</v>
      </c>
      <c r="F35" s="23"/>
      <c r="G35" s="23" t="s">
        <v>17</v>
      </c>
      <c r="H35" s="24"/>
      <c r="I35" s="24"/>
      <c r="J35" s="21"/>
    </row>
    <row r="36" spans="1:10" x14ac:dyDescent="0.25">
      <c r="A36" s="6">
        <v>34</v>
      </c>
      <c r="B36" s="14" t="s">
        <v>79</v>
      </c>
      <c r="C36" s="14" t="s">
        <v>55</v>
      </c>
      <c r="D36" s="14" t="s">
        <v>16</v>
      </c>
      <c r="E36" s="15" t="s">
        <v>17</v>
      </c>
      <c r="F36" s="15"/>
      <c r="G36" s="15" t="s">
        <v>17</v>
      </c>
      <c r="H36" s="16">
        <v>64</v>
      </c>
      <c r="I36" s="16">
        <v>2</v>
      </c>
      <c r="J36" s="21">
        <v>2</v>
      </c>
    </row>
    <row r="37" spans="1:10" x14ac:dyDescent="0.25">
      <c r="A37" s="6">
        <v>35</v>
      </c>
      <c r="B37" s="14" t="s">
        <v>91</v>
      </c>
      <c r="C37" s="14" t="s">
        <v>92</v>
      </c>
      <c r="D37" s="14" t="s">
        <v>16</v>
      </c>
      <c r="E37" s="15"/>
      <c r="F37" s="15"/>
      <c r="G37" s="15"/>
      <c r="H37" s="16"/>
      <c r="I37" s="16"/>
      <c r="J37" s="21"/>
    </row>
    <row r="38" spans="1:10" x14ac:dyDescent="0.25">
      <c r="A38" s="6">
        <v>36</v>
      </c>
      <c r="B38" s="14" t="s">
        <v>56</v>
      </c>
      <c r="C38" s="14" t="s">
        <v>57</v>
      </c>
      <c r="D38" s="14" t="s">
        <v>16</v>
      </c>
      <c r="E38" s="15" t="s">
        <v>17</v>
      </c>
      <c r="F38" s="15"/>
      <c r="G38" s="15" t="s">
        <v>17</v>
      </c>
      <c r="H38" s="16">
        <v>32</v>
      </c>
      <c r="I38" s="16">
        <v>1</v>
      </c>
      <c r="J38" s="21">
        <v>1</v>
      </c>
    </row>
    <row r="39" spans="1:10" x14ac:dyDescent="0.25">
      <c r="A39" s="6">
        <v>37</v>
      </c>
      <c r="B39" s="14" t="s">
        <v>0</v>
      </c>
      <c r="C39" s="14" t="s">
        <v>58</v>
      </c>
      <c r="D39" s="14" t="s">
        <v>16</v>
      </c>
      <c r="E39" s="15" t="s">
        <v>17</v>
      </c>
      <c r="F39" s="15">
        <v>1</v>
      </c>
      <c r="G39" s="15" t="s">
        <v>17</v>
      </c>
      <c r="H39" s="16">
        <v>64</v>
      </c>
      <c r="I39" s="16">
        <v>2</v>
      </c>
      <c r="J39" s="21">
        <v>2</v>
      </c>
    </row>
    <row r="40" spans="1:10" x14ac:dyDescent="0.25">
      <c r="A40" s="6">
        <v>38</v>
      </c>
      <c r="B40" s="14" t="s">
        <v>120</v>
      </c>
      <c r="C40" s="14"/>
      <c r="D40" s="14" t="s">
        <v>3</v>
      </c>
      <c r="E40" s="15"/>
      <c r="F40" s="15"/>
      <c r="G40" s="15"/>
      <c r="H40" s="16"/>
      <c r="I40" s="16"/>
      <c r="J40" s="21"/>
    </row>
    <row r="41" spans="1:10" x14ac:dyDescent="0.25">
      <c r="A41" s="6">
        <v>39</v>
      </c>
      <c r="B41" s="14" t="s">
        <v>59</v>
      </c>
      <c r="C41" s="14" t="s">
        <v>60</v>
      </c>
      <c r="D41" s="14" t="s">
        <v>34</v>
      </c>
      <c r="E41" s="15" t="s">
        <v>17</v>
      </c>
      <c r="F41" s="15"/>
      <c r="G41" s="15" t="s">
        <v>17</v>
      </c>
      <c r="H41" s="16"/>
      <c r="I41" s="16">
        <v>1</v>
      </c>
      <c r="J41" s="21"/>
    </row>
    <row r="42" spans="1:10" x14ac:dyDescent="0.25">
      <c r="A42" s="6">
        <v>40</v>
      </c>
      <c r="B42" s="14" t="s">
        <v>61</v>
      </c>
      <c r="C42" s="14" t="s">
        <v>62</v>
      </c>
      <c r="D42" s="14" t="s">
        <v>16</v>
      </c>
      <c r="E42" s="15" t="s">
        <v>17</v>
      </c>
      <c r="F42" s="15">
        <v>1</v>
      </c>
      <c r="G42" s="15" t="s">
        <v>17</v>
      </c>
      <c r="H42" s="16">
        <v>64</v>
      </c>
      <c r="I42" s="16">
        <v>2</v>
      </c>
      <c r="J42" s="21">
        <v>2</v>
      </c>
    </row>
    <row r="43" spans="1:10" x14ac:dyDescent="0.25">
      <c r="A43" s="6">
        <v>41</v>
      </c>
      <c r="B43" s="14" t="s">
        <v>2</v>
      </c>
      <c r="C43" s="14" t="s">
        <v>62</v>
      </c>
      <c r="D43" s="14" t="s">
        <v>3</v>
      </c>
      <c r="E43" s="15"/>
      <c r="F43" s="15"/>
      <c r="G43" s="15"/>
      <c r="H43" s="16"/>
      <c r="I43" s="16"/>
      <c r="J43" s="21"/>
    </row>
    <row r="44" spans="1:10" x14ac:dyDescent="0.25">
      <c r="A44" s="6">
        <v>42</v>
      </c>
      <c r="B44" s="18" t="s">
        <v>41</v>
      </c>
      <c r="C44" s="18" t="s">
        <v>63</v>
      </c>
      <c r="D44" s="18" t="s">
        <v>16</v>
      </c>
      <c r="E44" s="19" t="s">
        <v>17</v>
      </c>
      <c r="F44" s="19"/>
      <c r="G44" s="19"/>
      <c r="H44" s="20"/>
      <c r="I44" s="20"/>
      <c r="J44" s="21"/>
    </row>
    <row r="45" spans="1:10" x14ac:dyDescent="0.25">
      <c r="A45" s="6">
        <v>43</v>
      </c>
      <c r="B45" s="14" t="s">
        <v>64</v>
      </c>
      <c r="C45" s="14" t="s">
        <v>65</v>
      </c>
      <c r="D45" s="14" t="s">
        <v>16</v>
      </c>
      <c r="E45" s="15" t="s">
        <v>17</v>
      </c>
      <c r="F45" s="15">
        <v>1</v>
      </c>
      <c r="G45" s="15" t="s">
        <v>17</v>
      </c>
      <c r="H45" s="16">
        <v>192</v>
      </c>
      <c r="I45" s="16">
        <v>6</v>
      </c>
      <c r="J45" s="21">
        <v>6</v>
      </c>
    </row>
    <row r="46" spans="1:10" x14ac:dyDescent="0.25">
      <c r="A46" s="6">
        <v>44</v>
      </c>
      <c r="B46" s="14" t="s">
        <v>94</v>
      </c>
      <c r="C46" s="14" t="s">
        <v>65</v>
      </c>
      <c r="D46" s="14" t="s">
        <v>3</v>
      </c>
      <c r="E46" s="15"/>
      <c r="F46" s="15"/>
      <c r="G46" s="15"/>
      <c r="H46" s="16"/>
      <c r="I46" s="16"/>
      <c r="J46" s="21"/>
    </row>
    <row r="47" spans="1:10" x14ac:dyDescent="0.25">
      <c r="A47" s="6">
        <v>45</v>
      </c>
      <c r="B47" s="14" t="s">
        <v>95</v>
      </c>
      <c r="C47" s="14" t="s">
        <v>65</v>
      </c>
      <c r="D47" s="14" t="s">
        <v>3</v>
      </c>
      <c r="E47" s="15"/>
      <c r="F47" s="15"/>
      <c r="G47" s="15"/>
      <c r="H47" s="16"/>
      <c r="I47" s="16"/>
      <c r="J47" s="21"/>
    </row>
    <row r="48" spans="1:10" x14ac:dyDescent="0.25">
      <c r="A48" s="6">
        <v>46</v>
      </c>
      <c r="B48" s="14" t="s">
        <v>96</v>
      </c>
      <c r="C48" s="14" t="s">
        <v>65</v>
      </c>
      <c r="D48" s="14" t="s">
        <v>3</v>
      </c>
      <c r="E48" s="15"/>
      <c r="F48" s="15"/>
      <c r="G48" s="15"/>
      <c r="H48" s="16"/>
      <c r="I48" s="16"/>
      <c r="J48" s="21"/>
    </row>
    <row r="49" spans="1:13" x14ac:dyDescent="0.25">
      <c r="A49" s="6">
        <v>47</v>
      </c>
      <c r="B49" s="14" t="s">
        <v>112</v>
      </c>
      <c r="C49" s="14" t="s">
        <v>65</v>
      </c>
      <c r="D49" s="14" t="s">
        <v>3</v>
      </c>
      <c r="E49" s="15"/>
      <c r="F49" s="15"/>
      <c r="G49" s="15"/>
      <c r="H49" s="16"/>
      <c r="I49" s="16"/>
      <c r="J49" s="21"/>
    </row>
    <row r="50" spans="1:13" x14ac:dyDescent="0.25">
      <c r="A50" s="6">
        <v>48</v>
      </c>
      <c r="B50" s="14" t="s">
        <v>122</v>
      </c>
      <c r="C50" s="14" t="s">
        <v>65</v>
      </c>
      <c r="D50" s="14" t="s">
        <v>3</v>
      </c>
      <c r="E50" s="15"/>
      <c r="F50" s="15"/>
      <c r="G50" s="15"/>
      <c r="H50" s="16"/>
      <c r="I50" s="16"/>
      <c r="J50" s="21"/>
    </row>
    <row r="51" spans="1:13" x14ac:dyDescent="0.25">
      <c r="A51" s="6">
        <v>49</v>
      </c>
      <c r="B51" s="14" t="s">
        <v>66</v>
      </c>
      <c r="C51" s="14" t="s">
        <v>67</v>
      </c>
      <c r="D51" s="14" t="s">
        <v>16</v>
      </c>
      <c r="E51" s="15" t="s">
        <v>17</v>
      </c>
      <c r="F51" s="15">
        <v>1</v>
      </c>
      <c r="G51" s="15" t="s">
        <v>17</v>
      </c>
      <c r="H51" s="16">
        <v>64</v>
      </c>
      <c r="I51" s="16">
        <v>2</v>
      </c>
      <c r="J51" s="21">
        <v>2</v>
      </c>
      <c r="M51" s="39"/>
    </row>
    <row r="52" spans="1:13" x14ac:dyDescent="0.25">
      <c r="A52" s="6">
        <v>50</v>
      </c>
      <c r="B52" s="14" t="s">
        <v>123</v>
      </c>
      <c r="C52" s="14" t="s">
        <v>124</v>
      </c>
      <c r="D52" s="14" t="s">
        <v>125</v>
      </c>
      <c r="E52" s="15"/>
      <c r="F52" s="15"/>
      <c r="G52" s="15"/>
      <c r="H52" s="16"/>
      <c r="I52" s="16"/>
      <c r="J52" s="21"/>
    </row>
    <row r="53" spans="1:13" x14ac:dyDescent="0.25">
      <c r="A53" s="6">
        <v>51</v>
      </c>
      <c r="B53" s="14" t="s">
        <v>68</v>
      </c>
      <c r="C53" s="14" t="s">
        <v>69</v>
      </c>
      <c r="D53" s="14" t="s">
        <v>16</v>
      </c>
      <c r="E53" s="15" t="s">
        <v>17</v>
      </c>
      <c r="F53" s="15">
        <v>1</v>
      </c>
      <c r="G53" s="15" t="s">
        <v>17</v>
      </c>
      <c r="H53" s="16">
        <v>64</v>
      </c>
      <c r="I53" s="16">
        <v>2</v>
      </c>
      <c r="J53" s="21">
        <v>2</v>
      </c>
    </row>
    <row r="54" spans="1:13" x14ac:dyDescent="0.25">
      <c r="A54" s="6">
        <v>52</v>
      </c>
      <c r="B54" s="55" t="s">
        <v>241</v>
      </c>
      <c r="C54" s="14" t="s">
        <v>121</v>
      </c>
      <c r="D54" s="14" t="s">
        <v>3</v>
      </c>
      <c r="E54" s="15"/>
      <c r="F54" s="15"/>
      <c r="G54" s="15"/>
      <c r="H54" s="16"/>
      <c r="I54" s="16"/>
      <c r="J54" s="21"/>
    </row>
    <row r="55" spans="1:13" x14ac:dyDescent="0.25">
      <c r="A55" s="6">
        <v>53</v>
      </c>
      <c r="B55" s="14" t="s">
        <v>70</v>
      </c>
      <c r="C55" s="14" t="s">
        <v>71</v>
      </c>
      <c r="D55" s="14" t="s">
        <v>16</v>
      </c>
      <c r="E55" s="15" t="s">
        <v>17</v>
      </c>
      <c r="F55" s="15">
        <v>1</v>
      </c>
      <c r="G55" s="15" t="s">
        <v>17</v>
      </c>
      <c r="H55" s="16">
        <v>64</v>
      </c>
      <c r="I55" s="16">
        <v>2</v>
      </c>
      <c r="J55" s="21">
        <v>2</v>
      </c>
    </row>
    <row r="56" spans="1:13" x14ac:dyDescent="0.25">
      <c r="B56" s="14" t="s">
        <v>94</v>
      </c>
      <c r="C56" s="14" t="s">
        <v>71</v>
      </c>
      <c r="D56" s="14" t="s">
        <v>3</v>
      </c>
      <c r="E56" s="15"/>
      <c r="F56" s="15"/>
      <c r="G56" s="15"/>
      <c r="H56" s="16"/>
      <c r="I56" s="16"/>
      <c r="J56" s="21"/>
    </row>
    <row r="57" spans="1:13" x14ac:dyDescent="0.25">
      <c r="A57" s="6">
        <v>54</v>
      </c>
      <c r="B57" s="25" t="s">
        <v>72</v>
      </c>
      <c r="C57" s="25" t="s">
        <v>73</v>
      </c>
      <c r="D57" s="25" t="s">
        <v>16</v>
      </c>
      <c r="E57" s="26" t="s">
        <v>17</v>
      </c>
      <c r="F57" s="26">
        <v>1</v>
      </c>
      <c r="G57" s="26" t="s">
        <v>17</v>
      </c>
      <c r="H57" s="27"/>
      <c r="I57" s="27"/>
      <c r="J57" s="21"/>
    </row>
    <row r="58" spans="1:13" x14ac:dyDescent="0.25">
      <c r="A58" s="6">
        <v>55</v>
      </c>
      <c r="B58" s="25" t="s">
        <v>59</v>
      </c>
      <c r="C58" s="25" t="s">
        <v>116</v>
      </c>
      <c r="D58" s="25" t="s">
        <v>3</v>
      </c>
      <c r="E58" s="26"/>
      <c r="F58" s="26"/>
      <c r="G58" s="26"/>
      <c r="H58" s="27"/>
      <c r="I58" s="27"/>
      <c r="J58" s="21"/>
    </row>
    <row r="59" spans="1:13" x14ac:dyDescent="0.25">
      <c r="A59" s="6">
        <v>56</v>
      </c>
      <c r="B59" s="14" t="s">
        <v>74</v>
      </c>
      <c r="C59" s="14" t="s">
        <v>75</v>
      </c>
      <c r="D59" s="14" t="s">
        <v>76</v>
      </c>
      <c r="E59" s="15" t="s">
        <v>17</v>
      </c>
      <c r="F59" s="15"/>
      <c r="G59" s="15"/>
      <c r="H59" s="16">
        <v>0</v>
      </c>
      <c r="I59" s="16">
        <v>1</v>
      </c>
      <c r="J59" s="21">
        <v>1</v>
      </c>
    </row>
    <row r="60" spans="1:13" x14ac:dyDescent="0.25">
      <c r="A60" s="6">
        <v>57</v>
      </c>
      <c r="B60" s="14" t="s">
        <v>77</v>
      </c>
      <c r="C60" s="14" t="s">
        <v>78</v>
      </c>
      <c r="D60" s="14" t="s">
        <v>16</v>
      </c>
      <c r="E60" s="15" t="s">
        <v>17</v>
      </c>
      <c r="F60" s="15">
        <v>1</v>
      </c>
      <c r="G60" s="15" t="s">
        <v>17</v>
      </c>
      <c r="H60" s="16">
        <v>160</v>
      </c>
      <c r="I60" s="16">
        <v>5</v>
      </c>
      <c r="J60" s="21">
        <v>5</v>
      </c>
    </row>
    <row r="61" spans="1:13" x14ac:dyDescent="0.25">
      <c r="A61" s="6">
        <v>58</v>
      </c>
      <c r="B61" s="14" t="s">
        <v>94</v>
      </c>
      <c r="C61" s="14" t="s">
        <v>78</v>
      </c>
      <c r="D61" s="14" t="s">
        <v>3</v>
      </c>
      <c r="E61" s="15"/>
      <c r="F61" s="15"/>
      <c r="G61" s="15"/>
      <c r="H61" s="16"/>
      <c r="I61" s="16"/>
      <c r="J61" s="21"/>
    </row>
    <row r="62" spans="1:13" x14ac:dyDescent="0.25">
      <c r="A62" s="6">
        <v>59</v>
      </c>
      <c r="B62" s="14" t="s">
        <v>95</v>
      </c>
      <c r="C62" s="14" t="s">
        <v>78</v>
      </c>
      <c r="D62" s="14" t="s">
        <v>3</v>
      </c>
      <c r="E62" s="15"/>
      <c r="F62" s="15"/>
      <c r="G62" s="15"/>
      <c r="H62" s="16"/>
      <c r="I62" s="16"/>
      <c r="J62" s="21"/>
    </row>
    <row r="63" spans="1:13" x14ac:dyDescent="0.25">
      <c r="A63" s="6">
        <v>60</v>
      </c>
      <c r="B63" s="14" t="s">
        <v>96</v>
      </c>
      <c r="C63" s="14" t="s">
        <v>78</v>
      </c>
      <c r="D63" s="14" t="s">
        <v>3</v>
      </c>
      <c r="E63" s="15"/>
      <c r="F63" s="15"/>
      <c r="G63" s="15"/>
      <c r="H63" s="16"/>
      <c r="I63" s="16"/>
      <c r="J63" s="21"/>
    </row>
    <row r="64" spans="1:13" x14ac:dyDescent="0.25">
      <c r="A64" s="6">
        <v>61</v>
      </c>
      <c r="B64" s="14" t="s">
        <v>112</v>
      </c>
      <c r="C64" s="14" t="s">
        <v>78</v>
      </c>
      <c r="D64" s="14" t="s">
        <v>3</v>
      </c>
      <c r="E64" s="15"/>
      <c r="F64" s="15"/>
      <c r="G64" s="15"/>
      <c r="H64" s="16"/>
      <c r="I64" s="16"/>
      <c r="J64" s="21"/>
    </row>
    <row r="65" spans="1:10" x14ac:dyDescent="0.25">
      <c r="A65" s="6">
        <v>62</v>
      </c>
      <c r="B65" s="14" t="s">
        <v>79</v>
      </c>
      <c r="C65" s="14" t="s">
        <v>80</v>
      </c>
      <c r="D65" s="14" t="s">
        <v>81</v>
      </c>
      <c r="E65" s="15" t="s">
        <v>17</v>
      </c>
      <c r="F65" s="15">
        <v>1</v>
      </c>
      <c r="G65" s="15"/>
      <c r="H65" s="16">
        <v>0</v>
      </c>
      <c r="I65" s="16">
        <v>2</v>
      </c>
      <c r="J65" s="21">
        <v>2</v>
      </c>
    </row>
    <row r="66" spans="1:10" x14ac:dyDescent="0.25">
      <c r="B66" s="14" t="s">
        <v>94</v>
      </c>
      <c r="C66" s="14" t="s">
        <v>80</v>
      </c>
      <c r="D66" s="14"/>
      <c r="E66" s="15"/>
      <c r="F66" s="15"/>
      <c r="G66" s="15"/>
      <c r="H66" s="16"/>
      <c r="I66" s="16"/>
      <c r="J66" s="21"/>
    </row>
    <row r="67" spans="1:10" x14ac:dyDescent="0.25">
      <c r="A67" s="6">
        <v>63</v>
      </c>
      <c r="B67" s="14" t="s">
        <v>82</v>
      </c>
      <c r="C67" s="14" t="s">
        <v>83</v>
      </c>
      <c r="D67" s="14" t="s">
        <v>16</v>
      </c>
      <c r="E67" s="15" t="s">
        <v>17</v>
      </c>
      <c r="F67" s="15">
        <v>1</v>
      </c>
      <c r="G67" s="15" t="s">
        <v>17</v>
      </c>
      <c r="H67" s="16">
        <v>64</v>
      </c>
      <c r="I67" s="16">
        <v>2</v>
      </c>
      <c r="J67" s="21">
        <v>2</v>
      </c>
    </row>
    <row r="68" spans="1:10" x14ac:dyDescent="0.25">
      <c r="A68" s="6">
        <v>64</v>
      </c>
      <c r="B68" s="14" t="s">
        <v>94</v>
      </c>
      <c r="C68" s="14" t="s">
        <v>83</v>
      </c>
      <c r="D68" s="14" t="s">
        <v>3</v>
      </c>
      <c r="E68" s="15"/>
      <c r="F68" s="15"/>
      <c r="G68" s="15"/>
      <c r="H68" s="16"/>
      <c r="I68" s="16"/>
      <c r="J68" s="21"/>
    </row>
    <row r="69" spans="1:10" x14ac:dyDescent="0.25">
      <c r="A69" s="6">
        <v>65</v>
      </c>
      <c r="B69" s="14" t="s">
        <v>84</v>
      </c>
      <c r="C69" s="14" t="s">
        <v>85</v>
      </c>
      <c r="D69" s="14" t="s">
        <v>16</v>
      </c>
      <c r="E69" s="15" t="s">
        <v>17</v>
      </c>
      <c r="F69" s="15">
        <v>5</v>
      </c>
      <c r="G69" s="15" t="s">
        <v>17</v>
      </c>
      <c r="H69" s="16">
        <v>256</v>
      </c>
      <c r="I69" s="16">
        <v>8</v>
      </c>
      <c r="J69" s="21">
        <v>8</v>
      </c>
    </row>
    <row r="70" spans="1:10" x14ac:dyDescent="0.25">
      <c r="A70" s="6">
        <v>66</v>
      </c>
      <c r="B70" s="14" t="s">
        <v>104</v>
      </c>
      <c r="C70" s="14" t="s">
        <v>85</v>
      </c>
      <c r="D70" s="14" t="s">
        <v>3</v>
      </c>
      <c r="E70" s="15"/>
      <c r="F70" s="15"/>
      <c r="G70" s="15"/>
      <c r="H70" s="16"/>
      <c r="I70" s="16"/>
      <c r="J70" s="21"/>
    </row>
    <row r="71" spans="1:10" x14ac:dyDescent="0.25">
      <c r="A71" s="6">
        <v>67</v>
      </c>
      <c r="B71" s="14" t="s">
        <v>68</v>
      </c>
      <c r="C71" s="14" t="s">
        <v>105</v>
      </c>
      <c r="D71" s="14" t="s">
        <v>3</v>
      </c>
      <c r="E71" s="15"/>
      <c r="F71" s="15"/>
      <c r="G71" s="15"/>
      <c r="H71" s="16"/>
      <c r="I71" s="16"/>
      <c r="J71" s="21"/>
    </row>
    <row r="72" spans="1:10" x14ac:dyDescent="0.25">
      <c r="A72" s="6">
        <v>68</v>
      </c>
      <c r="B72" s="14" t="s">
        <v>106</v>
      </c>
      <c r="C72" s="14" t="s">
        <v>105</v>
      </c>
      <c r="D72" s="14" t="s">
        <v>3</v>
      </c>
      <c r="E72" s="15"/>
      <c r="F72" s="15"/>
      <c r="G72" s="15"/>
      <c r="H72" s="16"/>
      <c r="I72" s="16"/>
      <c r="J72" s="21"/>
    </row>
    <row r="73" spans="1:10" x14ac:dyDescent="0.25">
      <c r="A73" s="6">
        <v>69</v>
      </c>
      <c r="B73" s="14" t="s">
        <v>84</v>
      </c>
      <c r="C73" s="14" t="s">
        <v>107</v>
      </c>
      <c r="D73" s="14" t="s">
        <v>3</v>
      </c>
      <c r="E73" s="15"/>
      <c r="F73" s="15"/>
      <c r="G73" s="15"/>
      <c r="H73" s="16"/>
      <c r="I73" s="16"/>
      <c r="J73" s="21"/>
    </row>
    <row r="74" spans="1:10" x14ac:dyDescent="0.25">
      <c r="A74" s="6">
        <v>70</v>
      </c>
      <c r="B74" s="14" t="s">
        <v>108</v>
      </c>
      <c r="C74" s="14" t="s">
        <v>107</v>
      </c>
      <c r="D74" s="14" t="s">
        <v>3</v>
      </c>
      <c r="E74" s="15"/>
      <c r="F74" s="15"/>
      <c r="G74" s="15"/>
      <c r="H74" s="16"/>
      <c r="I74" s="16"/>
      <c r="J74" s="21"/>
    </row>
    <row r="75" spans="1:10" x14ac:dyDescent="0.25">
      <c r="A75" s="6">
        <v>71</v>
      </c>
      <c r="B75" s="14" t="s">
        <v>109</v>
      </c>
      <c r="C75" s="14" t="s">
        <v>110</v>
      </c>
      <c r="D75" s="14" t="s">
        <v>3</v>
      </c>
      <c r="E75" s="15"/>
      <c r="F75" s="15"/>
      <c r="G75" s="15"/>
      <c r="H75" s="16"/>
      <c r="I75" s="16"/>
      <c r="J75" s="21"/>
    </row>
    <row r="76" spans="1:10" x14ac:dyDescent="0.25">
      <c r="A76" s="6">
        <v>72</v>
      </c>
      <c r="B76" s="14" t="s">
        <v>111</v>
      </c>
      <c r="C76" s="14" t="s">
        <v>110</v>
      </c>
      <c r="D76" s="14" t="s">
        <v>3</v>
      </c>
      <c r="E76" s="15"/>
      <c r="F76" s="15"/>
      <c r="G76" s="15"/>
      <c r="H76" s="16"/>
      <c r="I76" s="16"/>
      <c r="J76" s="21"/>
    </row>
    <row r="77" spans="1:10" x14ac:dyDescent="0.25">
      <c r="A77" s="6">
        <v>73</v>
      </c>
      <c r="B77" s="28" t="s">
        <v>1</v>
      </c>
      <c r="C77" s="28" t="s">
        <v>86</v>
      </c>
      <c r="D77" s="28" t="s">
        <v>16</v>
      </c>
      <c r="E77" s="29" t="s">
        <v>17</v>
      </c>
      <c r="F77" s="29"/>
      <c r="G77" s="29" t="s">
        <v>17</v>
      </c>
      <c r="H77" s="30">
        <v>32</v>
      </c>
      <c r="I77" s="30">
        <v>1</v>
      </c>
      <c r="J77" s="21">
        <v>1</v>
      </c>
    </row>
    <row r="78" spans="1:10" x14ac:dyDescent="0.25">
      <c r="A78" s="6">
        <v>74</v>
      </c>
      <c r="B78" s="28" t="s">
        <v>87</v>
      </c>
      <c r="C78" s="28" t="s">
        <v>115</v>
      </c>
      <c r="D78" s="28" t="s">
        <v>16</v>
      </c>
      <c r="E78" s="29" t="s">
        <v>17</v>
      </c>
      <c r="F78" s="29">
        <v>1</v>
      </c>
      <c r="G78" s="29" t="s">
        <v>17</v>
      </c>
      <c r="H78" s="30">
        <v>64</v>
      </c>
      <c r="I78" s="30">
        <v>2</v>
      </c>
      <c r="J78" s="21">
        <v>2</v>
      </c>
    </row>
    <row r="79" spans="1:10" x14ac:dyDescent="0.25">
      <c r="A79" s="6">
        <v>75</v>
      </c>
      <c r="B79" s="28" t="s">
        <v>113</v>
      </c>
      <c r="C79" s="28" t="s">
        <v>114</v>
      </c>
      <c r="D79" s="28" t="s">
        <v>3</v>
      </c>
      <c r="E79" s="29"/>
      <c r="F79" s="29"/>
      <c r="G79" s="29"/>
      <c r="H79" s="30"/>
      <c r="I79" s="30"/>
      <c r="J79" s="21"/>
    </row>
    <row r="80" spans="1:10" ht="15.75" thickBot="1" x14ac:dyDescent="0.3">
      <c r="E80" s="31">
        <v>38</v>
      </c>
      <c r="F80" s="32">
        <v>28</v>
      </c>
      <c r="G80" s="32"/>
      <c r="H80" s="33">
        <f>SUM(H5:H78)</f>
        <v>1920</v>
      </c>
      <c r="I80" s="33">
        <f>SUM(I5:I78)</f>
        <v>64</v>
      </c>
      <c r="J80" s="33">
        <f>SUM(J5:J78)</f>
        <v>63</v>
      </c>
    </row>
    <row r="82" spans="2:9" x14ac:dyDescent="0.25">
      <c r="B82" s="34" t="s">
        <v>41</v>
      </c>
      <c r="C82" s="34" t="s">
        <v>88</v>
      </c>
      <c r="D82" s="35" t="s">
        <v>89</v>
      </c>
      <c r="E82" s="35"/>
      <c r="F82" s="35"/>
      <c r="G82" s="35"/>
      <c r="H82" s="36">
        <v>40</v>
      </c>
      <c r="I82" s="36">
        <v>0</v>
      </c>
    </row>
    <row r="84" spans="2:9" x14ac:dyDescent="0.25">
      <c r="B84" s="5"/>
    </row>
    <row r="85" spans="2:9" x14ac:dyDescent="0.25">
      <c r="B85" s="37"/>
    </row>
  </sheetData>
  <pageMargins left="0.31496062992125984" right="0.31496062992125984" top="0.74803149606299213" bottom="0.74803149606299213" header="0.31496062992125984" footer="0.31496062992125984"/>
  <pageSetup paperSize="9"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8" sqref="E8"/>
    </sheetView>
  </sheetViews>
  <sheetFormatPr defaultRowHeight="15.7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1"/>
  <sheetViews>
    <sheetView workbookViewId="0">
      <selection activeCell="D22" sqref="D22"/>
    </sheetView>
  </sheetViews>
  <sheetFormatPr defaultRowHeight="15.75" x14ac:dyDescent="0.25"/>
  <cols>
    <col min="2" max="2" width="15.7109375" bestFit="1" customWidth="1"/>
    <col min="3" max="3" width="11.42578125" bestFit="1" customWidth="1"/>
  </cols>
  <sheetData>
    <row r="1" spans="1:4" x14ac:dyDescent="0.25">
      <c r="A1" t="s">
        <v>231</v>
      </c>
      <c r="B1" t="s">
        <v>232</v>
      </c>
      <c r="C1" t="s">
        <v>238</v>
      </c>
    </row>
    <row r="2" spans="1:4" x14ac:dyDescent="0.25">
      <c r="A2">
        <v>1</v>
      </c>
      <c r="B2" t="s">
        <v>249</v>
      </c>
      <c r="C2" t="s">
        <v>251</v>
      </c>
      <c r="D2">
        <v>8</v>
      </c>
    </row>
    <row r="3" spans="1:4" x14ac:dyDescent="0.25">
      <c r="A3">
        <v>2</v>
      </c>
      <c r="B3" t="s">
        <v>224</v>
      </c>
      <c r="C3" t="s">
        <v>234</v>
      </c>
      <c r="D3">
        <v>78</v>
      </c>
    </row>
    <row r="4" spans="1:4" x14ac:dyDescent="0.25">
      <c r="A4">
        <v>3</v>
      </c>
      <c r="B4" t="s">
        <v>250</v>
      </c>
      <c r="C4" t="s">
        <v>235</v>
      </c>
      <c r="D4">
        <v>63</v>
      </c>
    </row>
    <row r="5" spans="1:4" x14ac:dyDescent="0.25">
      <c r="A5">
        <v>4</v>
      </c>
      <c r="B5" t="s">
        <v>252</v>
      </c>
      <c r="C5" t="s">
        <v>233</v>
      </c>
      <c r="D5">
        <v>150</v>
      </c>
    </row>
    <row r="6" spans="1:4" x14ac:dyDescent="0.25">
      <c r="A6">
        <v>5</v>
      </c>
      <c r="B6" t="s">
        <v>225</v>
      </c>
      <c r="C6" t="s">
        <v>248</v>
      </c>
      <c r="D6">
        <v>850</v>
      </c>
    </row>
    <row r="7" spans="1:4" x14ac:dyDescent="0.25">
      <c r="A7">
        <v>6</v>
      </c>
      <c r="B7" t="s">
        <v>226</v>
      </c>
      <c r="C7" t="s">
        <v>237</v>
      </c>
      <c r="D7">
        <v>380</v>
      </c>
    </row>
    <row r="8" spans="1:4" x14ac:dyDescent="0.25">
      <c r="A8">
        <v>7</v>
      </c>
      <c r="B8" t="s">
        <v>227</v>
      </c>
      <c r="C8" t="s">
        <v>239</v>
      </c>
      <c r="D8">
        <v>613</v>
      </c>
    </row>
    <row r="9" spans="1:4" x14ac:dyDescent="0.25">
      <c r="A9">
        <v>8</v>
      </c>
      <c r="B9" t="s">
        <v>228</v>
      </c>
      <c r="C9" t="s">
        <v>240</v>
      </c>
      <c r="D9">
        <v>413</v>
      </c>
    </row>
    <row r="10" spans="1:4" x14ac:dyDescent="0.25">
      <c r="A10">
        <v>9</v>
      </c>
      <c r="B10" t="s">
        <v>229</v>
      </c>
      <c r="C10" t="s">
        <v>236</v>
      </c>
      <c r="D10">
        <v>400</v>
      </c>
    </row>
    <row r="11" spans="1:4" x14ac:dyDescent="0.25">
      <c r="A11">
        <v>10</v>
      </c>
      <c r="B11" t="s">
        <v>230</v>
      </c>
      <c r="C11" t="s">
        <v>245</v>
      </c>
      <c r="D11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TablePlan</vt:lpstr>
      <vt:lpstr>Lists</vt:lpstr>
      <vt:lpstr>Gilly Sht</vt:lpstr>
      <vt:lpstr>PlanDev</vt:lpstr>
      <vt:lpstr>Headers</vt:lpstr>
      <vt:lpstr>TablePlan!Print_Area</vt:lpstr>
    </vt:vector>
  </TitlesOfParts>
  <Company>Contextures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Canon</dc:creator>
  <cp:lastModifiedBy>Mike Grubb</cp:lastModifiedBy>
  <cp:lastPrinted>2016-10-01T11:54:48Z</cp:lastPrinted>
  <dcterms:created xsi:type="dcterms:W3CDTF">2006-03-18T01:56:22Z</dcterms:created>
  <dcterms:modified xsi:type="dcterms:W3CDTF">2016-10-01T11:57:52Z</dcterms:modified>
</cp:coreProperties>
</file>